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91885\Desktop\Eduonix\Projects\Insurance Dataset Analysis\"/>
    </mc:Choice>
  </mc:AlternateContent>
  <xr:revisionPtr revIDLastSave="0" documentId="13_ncr:1_{A41A29F8-3539-4FF8-B9D0-145E011BDE5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surance Dataset Analysis" sheetId="1" r:id="rId1"/>
    <sheet name="Insurance Dataset Analysis Dash" sheetId="2" r:id="rId2"/>
  </sheets>
  <definedNames>
    <definedName name="_xlnm._FilterDatabase" localSheetId="0" hidden="1">'Insurance Dataset Analysis'!$A$1:$I$1340</definedName>
    <definedName name="_xlchart.v1.0" hidden="1">'Insurance Dataset Analysis'!$O$9:$O$10</definedName>
    <definedName name="_xlchart.v1.1" hidden="1">'Insurance Dataset Analysis'!$P$8</definedName>
    <definedName name="_xlchart.v1.2" hidden="1">'Insurance Dataset Analysis'!$P$9:$P$10</definedName>
    <definedName name="_xlchart.v1.3" hidden="1">'Insurance Dataset Analysis'!$Q$8</definedName>
    <definedName name="_xlchart.v1.4" hidden="1">'Insurance Dataset Analysis'!$Q$9:$Q$10</definedName>
    <definedName name="_xlnm.Extract" localSheetId="0">'Insurance Dataset Analysis'!$O$14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I3" i="1"/>
  <c r="H4" i="1"/>
  <c r="I4" i="1" s="1"/>
  <c r="H5" i="1"/>
  <c r="I5" i="1"/>
  <c r="H6" i="1"/>
  <c r="I6" i="1"/>
  <c r="H7" i="1"/>
  <c r="I7" i="1" s="1"/>
  <c r="H8" i="1"/>
  <c r="I8" i="1"/>
  <c r="H9" i="1"/>
  <c r="I9" i="1" s="1"/>
  <c r="H10" i="1"/>
  <c r="I10" i="1" s="1"/>
  <c r="H11" i="1"/>
  <c r="I11" i="1" s="1"/>
  <c r="H12" i="1"/>
  <c r="I12" i="1" s="1"/>
  <c r="H13" i="1"/>
  <c r="I13" i="1"/>
  <c r="H14" i="1"/>
  <c r="I14" i="1"/>
  <c r="H15" i="1"/>
  <c r="I15" i="1"/>
  <c r="H16" i="1"/>
  <c r="I16" i="1" s="1"/>
  <c r="H17" i="1"/>
  <c r="I17" i="1" s="1"/>
  <c r="H18" i="1"/>
  <c r="I18" i="1"/>
  <c r="H19" i="1"/>
  <c r="I19" i="1"/>
  <c r="H20" i="1"/>
  <c r="I20" i="1"/>
  <c r="H21" i="1"/>
  <c r="I21" i="1"/>
  <c r="H22" i="1"/>
  <c r="I22" i="1" s="1"/>
  <c r="H23" i="1"/>
  <c r="I23" i="1"/>
  <c r="H24" i="1"/>
  <c r="I24" i="1" s="1"/>
  <c r="H25" i="1"/>
  <c r="I25" i="1"/>
  <c r="H26" i="1"/>
  <c r="I26" i="1"/>
  <c r="H27" i="1"/>
  <c r="I27" i="1"/>
  <c r="H28" i="1"/>
  <c r="I28" i="1" s="1"/>
  <c r="H29" i="1"/>
  <c r="I29" i="1" s="1"/>
  <c r="H30" i="1"/>
  <c r="I30" i="1"/>
  <c r="H31" i="1"/>
  <c r="I31" i="1"/>
  <c r="H32" i="1"/>
  <c r="I32" i="1"/>
  <c r="H33" i="1"/>
  <c r="I33" i="1"/>
  <c r="H34" i="1"/>
  <c r="I34" i="1" s="1"/>
  <c r="H35" i="1"/>
  <c r="I35" i="1"/>
  <c r="H36" i="1"/>
  <c r="I36" i="1"/>
  <c r="H37" i="1"/>
  <c r="I37" i="1" s="1"/>
  <c r="H38" i="1"/>
  <c r="I38" i="1" s="1"/>
  <c r="H39" i="1"/>
  <c r="I39" i="1"/>
  <c r="H40" i="1"/>
  <c r="I40" i="1" s="1"/>
  <c r="H41" i="1"/>
  <c r="I41" i="1"/>
  <c r="H42" i="1"/>
  <c r="I42" i="1" s="1"/>
  <c r="H43" i="1"/>
  <c r="I43" i="1"/>
  <c r="H44" i="1"/>
  <c r="I44" i="1"/>
  <c r="H45" i="1"/>
  <c r="I45" i="1" s="1"/>
  <c r="H46" i="1"/>
  <c r="I46" i="1" s="1"/>
  <c r="H47" i="1"/>
  <c r="I47" i="1" s="1"/>
  <c r="H48" i="1"/>
  <c r="I48" i="1"/>
  <c r="H49" i="1"/>
  <c r="I49" i="1"/>
  <c r="H50" i="1"/>
  <c r="I50" i="1" s="1"/>
  <c r="H51" i="1"/>
  <c r="I51" i="1"/>
  <c r="H52" i="1"/>
  <c r="I52" i="1" s="1"/>
  <c r="H53" i="1"/>
  <c r="I53" i="1"/>
  <c r="H54" i="1"/>
  <c r="I54" i="1" s="1"/>
  <c r="H55" i="1"/>
  <c r="I55" i="1" s="1"/>
  <c r="H56" i="1"/>
  <c r="I56" i="1"/>
  <c r="H57" i="1"/>
  <c r="I57" i="1"/>
  <c r="H58" i="1"/>
  <c r="I58" i="1" s="1"/>
  <c r="H59" i="1"/>
  <c r="I59" i="1"/>
  <c r="H60" i="1"/>
  <c r="I60" i="1"/>
  <c r="H61" i="1"/>
  <c r="I61" i="1" s="1"/>
  <c r="H62" i="1"/>
  <c r="I62" i="1"/>
  <c r="H63" i="1"/>
  <c r="I63" i="1" s="1"/>
  <c r="H64" i="1"/>
  <c r="I64" i="1" s="1"/>
  <c r="H65" i="1"/>
  <c r="I65" i="1"/>
  <c r="H66" i="1"/>
  <c r="I66" i="1"/>
  <c r="H67" i="1"/>
  <c r="I67" i="1"/>
  <c r="H68" i="1"/>
  <c r="I68" i="1" s="1"/>
  <c r="H69" i="1"/>
  <c r="I69" i="1"/>
  <c r="H70" i="1"/>
  <c r="I70" i="1" s="1"/>
  <c r="H71" i="1"/>
  <c r="I71" i="1"/>
  <c r="H72" i="1"/>
  <c r="I72" i="1"/>
  <c r="H73" i="1"/>
  <c r="I73" i="1"/>
  <c r="H74" i="1"/>
  <c r="I74" i="1"/>
  <c r="H75" i="1"/>
  <c r="I75" i="1"/>
  <c r="H76" i="1"/>
  <c r="I76" i="1" s="1"/>
  <c r="H77" i="1"/>
  <c r="I77" i="1"/>
  <c r="H78" i="1"/>
  <c r="I78" i="1"/>
  <c r="H79" i="1"/>
  <c r="I79" i="1"/>
  <c r="H80" i="1"/>
  <c r="I80" i="1" s="1"/>
  <c r="H81" i="1"/>
  <c r="I81" i="1" s="1"/>
  <c r="H82" i="1"/>
  <c r="I82" i="1" s="1"/>
  <c r="H83" i="1"/>
  <c r="I83" i="1" s="1"/>
  <c r="H84" i="1"/>
  <c r="I84" i="1"/>
  <c r="H85" i="1"/>
  <c r="I85" i="1"/>
  <c r="H86" i="1"/>
  <c r="I86" i="1"/>
  <c r="H87" i="1"/>
  <c r="I87" i="1"/>
  <c r="H88" i="1"/>
  <c r="I88" i="1" s="1"/>
  <c r="H89" i="1"/>
  <c r="I89" i="1"/>
  <c r="H90" i="1"/>
  <c r="I90" i="1"/>
  <c r="H91" i="1"/>
  <c r="I91" i="1"/>
  <c r="H92" i="1"/>
  <c r="I92" i="1"/>
  <c r="H93" i="1"/>
  <c r="I93" i="1"/>
  <c r="H94" i="1"/>
  <c r="I94" i="1" s="1"/>
  <c r="H95" i="1"/>
  <c r="I95" i="1"/>
  <c r="H96" i="1"/>
  <c r="I96" i="1" s="1"/>
  <c r="H97" i="1"/>
  <c r="I97" i="1"/>
  <c r="H98" i="1"/>
  <c r="I98" i="1"/>
  <c r="H99" i="1"/>
  <c r="I99" i="1"/>
  <c r="H100" i="1"/>
  <c r="I100" i="1" s="1"/>
  <c r="H101" i="1"/>
  <c r="I101" i="1" s="1"/>
  <c r="H102" i="1"/>
  <c r="I102" i="1" s="1"/>
  <c r="H103" i="1"/>
  <c r="I103" i="1"/>
  <c r="H104" i="1"/>
  <c r="I104" i="1"/>
  <c r="H105" i="1"/>
  <c r="I105" i="1"/>
  <c r="H106" i="1"/>
  <c r="I106" i="1" s="1"/>
  <c r="H107" i="1"/>
  <c r="I107" i="1"/>
  <c r="H108" i="1"/>
  <c r="I108" i="1"/>
  <c r="H109" i="1"/>
  <c r="I109" i="1" s="1"/>
  <c r="H110" i="1"/>
  <c r="I110" i="1"/>
  <c r="H111" i="1"/>
  <c r="I111" i="1"/>
  <c r="H112" i="1"/>
  <c r="I112" i="1" s="1"/>
  <c r="H113" i="1"/>
  <c r="I113" i="1"/>
  <c r="H114" i="1"/>
  <c r="I114" i="1" s="1"/>
  <c r="H115" i="1"/>
  <c r="I115" i="1"/>
  <c r="H116" i="1"/>
  <c r="I116" i="1"/>
  <c r="H117" i="1"/>
  <c r="I117" i="1"/>
  <c r="H118" i="1"/>
  <c r="I118" i="1" s="1"/>
  <c r="H119" i="1"/>
  <c r="I119" i="1"/>
  <c r="H120" i="1"/>
  <c r="I120" i="1"/>
  <c r="H121" i="1"/>
  <c r="I121" i="1"/>
  <c r="H122" i="1"/>
  <c r="I122" i="1" s="1"/>
  <c r="H123" i="1"/>
  <c r="I123" i="1" s="1"/>
  <c r="H124" i="1"/>
  <c r="I124" i="1" s="1"/>
  <c r="H125" i="1"/>
  <c r="I125" i="1" s="1"/>
  <c r="H126" i="1"/>
  <c r="I126" i="1"/>
  <c r="H127" i="1"/>
  <c r="I127" i="1" s="1"/>
  <c r="H128" i="1"/>
  <c r="I128" i="1"/>
  <c r="H129" i="1"/>
  <c r="I129" i="1"/>
  <c r="H130" i="1"/>
  <c r="I130" i="1" s="1"/>
  <c r="H131" i="1"/>
  <c r="I131" i="1"/>
  <c r="H132" i="1"/>
  <c r="I132" i="1" s="1"/>
  <c r="H133" i="1"/>
  <c r="I133" i="1"/>
  <c r="H134" i="1"/>
  <c r="I134" i="1"/>
  <c r="H135" i="1"/>
  <c r="I135" i="1" s="1"/>
  <c r="H136" i="1"/>
  <c r="I136" i="1" s="1"/>
  <c r="H137" i="1"/>
  <c r="I137" i="1"/>
  <c r="H138" i="1"/>
  <c r="I138" i="1"/>
  <c r="H139" i="1"/>
  <c r="I139" i="1" s="1"/>
  <c r="H140" i="1"/>
  <c r="I140" i="1" s="1"/>
  <c r="H141" i="1"/>
  <c r="I141" i="1"/>
  <c r="H142" i="1"/>
  <c r="I142" i="1" s="1"/>
  <c r="H143" i="1"/>
  <c r="I143" i="1"/>
  <c r="H144" i="1"/>
  <c r="I144" i="1"/>
  <c r="H145" i="1"/>
  <c r="I145" i="1"/>
  <c r="H146" i="1"/>
  <c r="I146" i="1" s="1"/>
  <c r="H147" i="1"/>
  <c r="I147" i="1"/>
  <c r="H148" i="1"/>
  <c r="I148" i="1" s="1"/>
  <c r="H149" i="1"/>
  <c r="I149" i="1"/>
  <c r="H150" i="1"/>
  <c r="I150" i="1"/>
  <c r="H151" i="1"/>
  <c r="I151" i="1" s="1"/>
  <c r="H152" i="1"/>
  <c r="I152" i="1"/>
  <c r="H153" i="1"/>
  <c r="I153" i="1" s="1"/>
  <c r="H154" i="1"/>
  <c r="I154" i="1" s="1"/>
  <c r="H155" i="1"/>
  <c r="I155" i="1" s="1"/>
  <c r="H156" i="1"/>
  <c r="I156" i="1"/>
  <c r="H157" i="1"/>
  <c r="I157" i="1"/>
  <c r="H158" i="1"/>
  <c r="I158" i="1"/>
  <c r="H159" i="1"/>
  <c r="I159" i="1"/>
  <c r="H160" i="1"/>
  <c r="I160" i="1" s="1"/>
  <c r="H161" i="1"/>
  <c r="I161" i="1"/>
  <c r="H162" i="1"/>
  <c r="I162" i="1"/>
  <c r="H163" i="1"/>
  <c r="I163" i="1"/>
  <c r="H164" i="1"/>
  <c r="I164" i="1"/>
  <c r="H165" i="1"/>
  <c r="I165" i="1" s="1"/>
  <c r="H166" i="1"/>
  <c r="I166" i="1" s="1"/>
  <c r="H167" i="1"/>
  <c r="I167" i="1"/>
  <c r="H168" i="1"/>
  <c r="I168" i="1" s="1"/>
  <c r="H169" i="1"/>
  <c r="I169" i="1"/>
  <c r="H170" i="1"/>
  <c r="I170" i="1"/>
  <c r="H171" i="1"/>
  <c r="I171" i="1"/>
  <c r="H172" i="1"/>
  <c r="I172" i="1" s="1"/>
  <c r="H173" i="1"/>
  <c r="I173" i="1" s="1"/>
  <c r="H174" i="1"/>
  <c r="I174" i="1"/>
  <c r="H175" i="1"/>
  <c r="I175" i="1"/>
  <c r="H176" i="1"/>
  <c r="I176" i="1"/>
  <c r="H177" i="1"/>
  <c r="I177" i="1"/>
  <c r="H178" i="1"/>
  <c r="I178" i="1" s="1"/>
  <c r="H179" i="1"/>
  <c r="I179" i="1"/>
  <c r="H180" i="1"/>
  <c r="I180" i="1"/>
  <c r="H181" i="1"/>
  <c r="I181" i="1" s="1"/>
  <c r="H182" i="1"/>
  <c r="I182" i="1"/>
  <c r="H183" i="1"/>
  <c r="I183" i="1"/>
  <c r="H184" i="1"/>
  <c r="I184" i="1" s="1"/>
  <c r="H185" i="1"/>
  <c r="I185" i="1"/>
  <c r="H186" i="1"/>
  <c r="I186" i="1" s="1"/>
  <c r="H187" i="1"/>
  <c r="I187" i="1" s="1"/>
  <c r="H188" i="1"/>
  <c r="I188" i="1"/>
  <c r="H189" i="1"/>
  <c r="I189" i="1"/>
  <c r="H190" i="1"/>
  <c r="I190" i="1" s="1"/>
  <c r="H191" i="1"/>
  <c r="I191" i="1"/>
  <c r="H192" i="1"/>
  <c r="I192" i="1"/>
  <c r="H193" i="1"/>
  <c r="I193" i="1"/>
  <c r="H194" i="1"/>
  <c r="I194" i="1" s="1"/>
  <c r="H195" i="1"/>
  <c r="I195" i="1"/>
  <c r="H196" i="1"/>
  <c r="I196" i="1" s="1"/>
  <c r="H197" i="1"/>
  <c r="I197" i="1"/>
  <c r="H198" i="1"/>
  <c r="I198" i="1"/>
  <c r="H199" i="1"/>
  <c r="I199" i="1" s="1"/>
  <c r="H200" i="1"/>
  <c r="I200" i="1"/>
  <c r="H201" i="1"/>
  <c r="I201" i="1"/>
  <c r="H202" i="1"/>
  <c r="I202" i="1" s="1"/>
  <c r="H203" i="1"/>
  <c r="I203" i="1" s="1"/>
  <c r="H204" i="1"/>
  <c r="I204" i="1"/>
  <c r="H205" i="1"/>
  <c r="I205" i="1"/>
  <c r="H206" i="1"/>
  <c r="I206" i="1"/>
  <c r="H207" i="1"/>
  <c r="I207" i="1" s="1"/>
  <c r="H208" i="1"/>
  <c r="I208" i="1" s="1"/>
  <c r="H209" i="1"/>
  <c r="I209" i="1"/>
  <c r="H210" i="1"/>
  <c r="I210" i="1" s="1"/>
  <c r="H211" i="1"/>
  <c r="I211" i="1"/>
  <c r="H212" i="1"/>
  <c r="I212" i="1" s="1"/>
  <c r="H213" i="1"/>
  <c r="I213" i="1"/>
  <c r="H214" i="1"/>
  <c r="I214" i="1" s="1"/>
  <c r="H215" i="1"/>
  <c r="I215" i="1"/>
  <c r="H216" i="1"/>
  <c r="I216" i="1"/>
  <c r="H217" i="1"/>
  <c r="I217" i="1" s="1"/>
  <c r="H218" i="1"/>
  <c r="I218" i="1"/>
  <c r="H219" i="1"/>
  <c r="I219" i="1"/>
  <c r="H220" i="1"/>
  <c r="I220" i="1" s="1"/>
  <c r="H221" i="1"/>
  <c r="I221" i="1"/>
  <c r="H222" i="1"/>
  <c r="I222" i="1" s="1"/>
  <c r="H223" i="1"/>
  <c r="I223" i="1"/>
  <c r="H224" i="1"/>
  <c r="I224" i="1"/>
  <c r="H225" i="1"/>
  <c r="I225" i="1" s="1"/>
  <c r="H226" i="1"/>
  <c r="I226" i="1" s="1"/>
  <c r="H227" i="1"/>
  <c r="I227" i="1" s="1"/>
  <c r="H228" i="1"/>
  <c r="I228" i="1"/>
  <c r="H229" i="1"/>
  <c r="I229" i="1"/>
  <c r="H230" i="1"/>
  <c r="I230" i="1"/>
  <c r="H231" i="1"/>
  <c r="I231" i="1" s="1"/>
  <c r="H232" i="1"/>
  <c r="I232" i="1" s="1"/>
  <c r="H233" i="1"/>
  <c r="I233" i="1"/>
  <c r="H234" i="1"/>
  <c r="I234" i="1"/>
  <c r="H235" i="1"/>
  <c r="I235" i="1"/>
  <c r="H236" i="1"/>
  <c r="I236" i="1" s="1"/>
  <c r="H237" i="1"/>
  <c r="I237" i="1"/>
  <c r="H238" i="1"/>
  <c r="I238" i="1" s="1"/>
  <c r="H239" i="1"/>
  <c r="I239" i="1"/>
  <c r="H240" i="1"/>
  <c r="I240" i="1" s="1"/>
  <c r="H241" i="1"/>
  <c r="I241" i="1"/>
  <c r="H242" i="1"/>
  <c r="I242" i="1"/>
  <c r="H243" i="1"/>
  <c r="I243" i="1" s="1"/>
  <c r="H244" i="1"/>
  <c r="I244" i="1" s="1"/>
  <c r="H245" i="1"/>
  <c r="I245" i="1" s="1"/>
  <c r="H246" i="1"/>
  <c r="I246" i="1"/>
  <c r="H247" i="1"/>
  <c r="I247" i="1"/>
  <c r="H248" i="1"/>
  <c r="I248" i="1"/>
  <c r="H249" i="1"/>
  <c r="I249" i="1"/>
  <c r="H250" i="1"/>
  <c r="I250" i="1" s="1"/>
  <c r="H251" i="1"/>
  <c r="I251" i="1"/>
  <c r="H252" i="1"/>
  <c r="I252" i="1"/>
  <c r="H253" i="1"/>
  <c r="I253" i="1" s="1"/>
  <c r="H254" i="1"/>
  <c r="I254" i="1"/>
  <c r="H255" i="1"/>
  <c r="I255" i="1"/>
  <c r="H256" i="1"/>
  <c r="I256" i="1" s="1"/>
  <c r="H257" i="1"/>
  <c r="I257" i="1"/>
  <c r="H258" i="1"/>
  <c r="I258" i="1" s="1"/>
  <c r="H259" i="1"/>
  <c r="I259" i="1"/>
  <c r="H260" i="1"/>
  <c r="I260" i="1"/>
  <c r="H261" i="1"/>
  <c r="I261" i="1"/>
  <c r="H262" i="1"/>
  <c r="I262" i="1" s="1"/>
  <c r="H263" i="1"/>
  <c r="I263" i="1"/>
  <c r="H264" i="1"/>
  <c r="I264" i="1"/>
  <c r="H265" i="1"/>
  <c r="I265" i="1"/>
  <c r="H266" i="1"/>
  <c r="I266" i="1" s="1"/>
  <c r="H267" i="1"/>
  <c r="I267" i="1"/>
  <c r="H268" i="1"/>
  <c r="I268" i="1" s="1"/>
  <c r="H269" i="1"/>
  <c r="I269" i="1"/>
  <c r="H270" i="1"/>
  <c r="I270" i="1"/>
  <c r="H271" i="1"/>
  <c r="I271" i="1" s="1"/>
  <c r="H272" i="1"/>
  <c r="I272" i="1" s="1"/>
  <c r="H273" i="1"/>
  <c r="I273" i="1"/>
  <c r="H274" i="1"/>
  <c r="I274" i="1" s="1"/>
  <c r="H275" i="1"/>
  <c r="I275" i="1"/>
  <c r="H276" i="1"/>
  <c r="I276" i="1"/>
  <c r="H277" i="1"/>
  <c r="I277" i="1"/>
  <c r="H278" i="1"/>
  <c r="I278" i="1"/>
  <c r="H279" i="1"/>
  <c r="I279" i="1" s="1"/>
  <c r="H280" i="1"/>
  <c r="I280" i="1" s="1"/>
  <c r="H281" i="1"/>
  <c r="I281" i="1" s="1"/>
  <c r="H282" i="1"/>
  <c r="I282" i="1"/>
  <c r="H283" i="1"/>
  <c r="I283" i="1"/>
  <c r="H284" i="1"/>
  <c r="I284" i="1" s="1"/>
  <c r="H285" i="1"/>
  <c r="I285" i="1"/>
  <c r="H286" i="1"/>
  <c r="I286" i="1" s="1"/>
  <c r="H287" i="1"/>
  <c r="I287" i="1"/>
  <c r="H288" i="1"/>
  <c r="I288" i="1" s="1"/>
  <c r="H289" i="1"/>
  <c r="I289" i="1"/>
  <c r="H290" i="1"/>
  <c r="I290" i="1"/>
  <c r="H291" i="1"/>
  <c r="I291" i="1"/>
  <c r="H292" i="1"/>
  <c r="I292" i="1" s="1"/>
  <c r="H293" i="1"/>
  <c r="I293" i="1"/>
  <c r="H294" i="1"/>
  <c r="I294" i="1"/>
  <c r="H295" i="1"/>
  <c r="I295" i="1"/>
  <c r="H296" i="1"/>
  <c r="I296" i="1"/>
  <c r="H297" i="1"/>
  <c r="I297" i="1" s="1"/>
  <c r="H298" i="1"/>
  <c r="I298" i="1" s="1"/>
  <c r="H299" i="1"/>
  <c r="I299" i="1" s="1"/>
  <c r="H300" i="1"/>
  <c r="I300" i="1"/>
  <c r="H301" i="1"/>
  <c r="I301" i="1"/>
  <c r="H302" i="1"/>
  <c r="I302" i="1" s="1"/>
  <c r="H303" i="1"/>
  <c r="I303" i="1"/>
  <c r="H304" i="1"/>
  <c r="I304" i="1" s="1"/>
  <c r="H305" i="1"/>
  <c r="I305" i="1"/>
  <c r="H306" i="1"/>
  <c r="I306" i="1"/>
  <c r="H307" i="1"/>
  <c r="I307" i="1" s="1"/>
  <c r="H308" i="1"/>
  <c r="I308" i="1"/>
  <c r="H309" i="1"/>
  <c r="I309" i="1"/>
  <c r="H310" i="1"/>
  <c r="I310" i="1" s="1"/>
  <c r="H311" i="1"/>
  <c r="I311" i="1"/>
  <c r="H312" i="1"/>
  <c r="I312" i="1" s="1"/>
  <c r="H313" i="1"/>
  <c r="I313" i="1"/>
  <c r="H314" i="1"/>
  <c r="I314" i="1" s="1"/>
  <c r="H315" i="1"/>
  <c r="I315" i="1"/>
  <c r="H316" i="1"/>
  <c r="I316" i="1" s="1"/>
  <c r="H317" i="1"/>
  <c r="I317" i="1" s="1"/>
  <c r="H318" i="1"/>
  <c r="I318" i="1"/>
  <c r="H319" i="1"/>
  <c r="I319" i="1"/>
  <c r="H320" i="1"/>
  <c r="I320" i="1"/>
  <c r="H321" i="1"/>
  <c r="I321" i="1" s="1"/>
  <c r="H322" i="1"/>
  <c r="I322" i="1" s="1"/>
  <c r="H323" i="1"/>
  <c r="I323" i="1" s="1"/>
  <c r="H324" i="1"/>
  <c r="I324" i="1"/>
  <c r="H325" i="1"/>
  <c r="I325" i="1" s="1"/>
  <c r="H326" i="1"/>
  <c r="I326" i="1"/>
  <c r="H327" i="1"/>
  <c r="I327" i="1"/>
  <c r="H328" i="1"/>
  <c r="I328" i="1" s="1"/>
  <c r="H329" i="1"/>
  <c r="I329" i="1"/>
  <c r="H330" i="1"/>
  <c r="I330" i="1" s="1"/>
  <c r="H331" i="1"/>
  <c r="I331" i="1"/>
  <c r="H332" i="1"/>
  <c r="I332" i="1"/>
  <c r="H333" i="1"/>
  <c r="I333" i="1"/>
  <c r="H334" i="1"/>
  <c r="I334" i="1" s="1"/>
  <c r="H335" i="1"/>
  <c r="I335" i="1"/>
  <c r="H336" i="1"/>
  <c r="I336" i="1"/>
  <c r="H337" i="1"/>
  <c r="I337" i="1"/>
  <c r="H338" i="1"/>
  <c r="I338" i="1" s="1"/>
  <c r="H339" i="1"/>
  <c r="I339" i="1"/>
  <c r="H340" i="1"/>
  <c r="I340" i="1" s="1"/>
  <c r="H341" i="1"/>
  <c r="I341" i="1"/>
  <c r="H342" i="1"/>
  <c r="I342" i="1"/>
  <c r="H343" i="1"/>
  <c r="I343" i="1" s="1"/>
  <c r="H344" i="1"/>
  <c r="I344" i="1"/>
  <c r="H345" i="1"/>
  <c r="I345" i="1"/>
  <c r="H346" i="1"/>
  <c r="I346" i="1" s="1"/>
  <c r="H347" i="1"/>
  <c r="I347" i="1"/>
  <c r="H348" i="1"/>
  <c r="I348" i="1"/>
  <c r="H349" i="1"/>
  <c r="I349" i="1"/>
  <c r="H350" i="1"/>
  <c r="I350" i="1"/>
  <c r="H351" i="1"/>
  <c r="I351" i="1" s="1"/>
  <c r="H352" i="1"/>
  <c r="I352" i="1" s="1"/>
  <c r="H353" i="1"/>
  <c r="I353" i="1"/>
  <c r="H354" i="1"/>
  <c r="I354" i="1"/>
  <c r="H355" i="1"/>
  <c r="I355" i="1"/>
  <c r="H356" i="1"/>
  <c r="I356" i="1" s="1"/>
  <c r="H357" i="1"/>
  <c r="I357" i="1" s="1"/>
  <c r="H358" i="1"/>
  <c r="I358" i="1" s="1"/>
  <c r="H359" i="1"/>
  <c r="I359" i="1" s="1"/>
  <c r="H360" i="1"/>
  <c r="I360" i="1"/>
  <c r="H361" i="1"/>
  <c r="I361" i="1"/>
  <c r="H362" i="1"/>
  <c r="I362" i="1"/>
  <c r="H363" i="1"/>
  <c r="I363" i="1"/>
  <c r="H364" i="1"/>
  <c r="I364" i="1" s="1"/>
  <c r="H365" i="1"/>
  <c r="I365" i="1"/>
  <c r="H366" i="1"/>
  <c r="I366" i="1"/>
  <c r="H367" i="1"/>
  <c r="I367" i="1"/>
  <c r="H368" i="1"/>
  <c r="I368" i="1"/>
  <c r="H369" i="1"/>
  <c r="I369" i="1" s="1"/>
  <c r="H370" i="1"/>
  <c r="I370" i="1" s="1"/>
  <c r="H371" i="1"/>
  <c r="I371" i="1" s="1"/>
  <c r="H372" i="1"/>
  <c r="I372" i="1"/>
  <c r="H373" i="1"/>
  <c r="I373" i="1" s="1"/>
  <c r="H374" i="1"/>
  <c r="I374" i="1"/>
  <c r="H375" i="1"/>
  <c r="I375" i="1"/>
  <c r="H376" i="1"/>
  <c r="I376" i="1" s="1"/>
  <c r="H377" i="1"/>
  <c r="I377" i="1"/>
  <c r="H378" i="1"/>
  <c r="I378" i="1"/>
  <c r="H379" i="1"/>
  <c r="I379" i="1"/>
  <c r="H380" i="1"/>
  <c r="I380" i="1"/>
  <c r="H381" i="1"/>
  <c r="I381" i="1"/>
  <c r="H382" i="1"/>
  <c r="I382" i="1" s="1"/>
  <c r="H383" i="1"/>
  <c r="I383" i="1"/>
  <c r="H384" i="1"/>
  <c r="I384" i="1" s="1"/>
  <c r="H385" i="1"/>
  <c r="I385" i="1" s="1"/>
  <c r="H386" i="1"/>
  <c r="I386" i="1"/>
  <c r="H387" i="1"/>
  <c r="I387" i="1"/>
  <c r="H388" i="1"/>
  <c r="I388" i="1" s="1"/>
  <c r="H389" i="1"/>
  <c r="I389" i="1" s="1"/>
  <c r="H390" i="1"/>
  <c r="I390" i="1"/>
  <c r="H391" i="1"/>
  <c r="I391" i="1"/>
  <c r="H392" i="1"/>
  <c r="I392" i="1" s="1"/>
  <c r="H393" i="1"/>
  <c r="I393" i="1"/>
  <c r="H394" i="1"/>
  <c r="I394" i="1" s="1"/>
  <c r="H395" i="1"/>
  <c r="I395" i="1"/>
  <c r="H396" i="1"/>
  <c r="I396" i="1"/>
  <c r="H397" i="1"/>
  <c r="I397" i="1" s="1"/>
  <c r="H398" i="1"/>
  <c r="I398" i="1"/>
  <c r="H399" i="1"/>
  <c r="I399" i="1" s="1"/>
  <c r="H400" i="1"/>
  <c r="I400" i="1" s="1"/>
  <c r="H401" i="1"/>
  <c r="I401" i="1" s="1"/>
  <c r="H402" i="1"/>
  <c r="I402" i="1" s="1"/>
  <c r="H403" i="1"/>
  <c r="I403" i="1"/>
  <c r="H404" i="1"/>
  <c r="I404" i="1"/>
  <c r="H405" i="1"/>
  <c r="I405" i="1"/>
  <c r="H406" i="1"/>
  <c r="I406" i="1" s="1"/>
  <c r="H407" i="1"/>
  <c r="I407" i="1"/>
  <c r="H408" i="1"/>
  <c r="I408" i="1" s="1"/>
  <c r="H409" i="1"/>
  <c r="I409" i="1"/>
  <c r="H410" i="1"/>
  <c r="I410" i="1" s="1"/>
  <c r="H411" i="1"/>
  <c r="I411" i="1"/>
  <c r="H412" i="1"/>
  <c r="I412" i="1" s="1"/>
  <c r="H413" i="1"/>
  <c r="I413" i="1"/>
  <c r="H414" i="1"/>
  <c r="I414" i="1"/>
  <c r="H415" i="1"/>
  <c r="I415" i="1" s="1"/>
  <c r="H416" i="1"/>
  <c r="I416" i="1"/>
  <c r="H417" i="1"/>
  <c r="I417" i="1"/>
  <c r="H418" i="1"/>
  <c r="I418" i="1" s="1"/>
  <c r="H419" i="1"/>
  <c r="I419" i="1"/>
  <c r="H420" i="1"/>
  <c r="I420" i="1"/>
  <c r="H421" i="1"/>
  <c r="I421" i="1"/>
  <c r="H422" i="1"/>
  <c r="I422" i="1"/>
  <c r="H423" i="1"/>
  <c r="I423" i="1" s="1"/>
  <c r="H424" i="1"/>
  <c r="I424" i="1" s="1"/>
  <c r="H425" i="1"/>
  <c r="I425" i="1"/>
  <c r="H426" i="1"/>
  <c r="I426" i="1"/>
  <c r="H427" i="1"/>
  <c r="I427" i="1"/>
  <c r="H428" i="1"/>
  <c r="I428" i="1" s="1"/>
  <c r="H429" i="1"/>
  <c r="I429" i="1"/>
  <c r="H430" i="1"/>
  <c r="I430" i="1" s="1"/>
  <c r="H431" i="1"/>
  <c r="I431" i="1"/>
  <c r="H432" i="1"/>
  <c r="I432" i="1"/>
  <c r="H433" i="1"/>
  <c r="I433" i="1"/>
  <c r="H434" i="1"/>
  <c r="I434" i="1"/>
  <c r="H435" i="1"/>
  <c r="I435" i="1"/>
  <c r="H436" i="1"/>
  <c r="I436" i="1" s="1"/>
  <c r="H437" i="1"/>
  <c r="I437" i="1"/>
  <c r="H438" i="1"/>
  <c r="I438" i="1"/>
  <c r="H439" i="1"/>
  <c r="I439" i="1"/>
  <c r="H440" i="1"/>
  <c r="I440" i="1"/>
  <c r="H441" i="1"/>
  <c r="I441" i="1" s="1"/>
  <c r="H442" i="1"/>
  <c r="I442" i="1" s="1"/>
  <c r="H443" i="1"/>
  <c r="I443" i="1" s="1"/>
  <c r="H444" i="1"/>
  <c r="I444" i="1" s="1"/>
  <c r="H445" i="1"/>
  <c r="I445" i="1"/>
  <c r="H446" i="1"/>
  <c r="I446" i="1"/>
  <c r="H447" i="1"/>
  <c r="I447" i="1"/>
  <c r="H448" i="1"/>
  <c r="I448" i="1" s="1"/>
  <c r="H449" i="1"/>
  <c r="I449" i="1" s="1"/>
  <c r="H450" i="1"/>
  <c r="I450" i="1"/>
  <c r="H451" i="1"/>
  <c r="I451" i="1"/>
  <c r="H452" i="1"/>
  <c r="I452" i="1"/>
  <c r="H453" i="1"/>
  <c r="I453" i="1"/>
  <c r="H454" i="1"/>
  <c r="I454" i="1" s="1"/>
  <c r="H455" i="1"/>
  <c r="I455" i="1"/>
  <c r="H456" i="1"/>
  <c r="I456" i="1" s="1"/>
  <c r="H457" i="1"/>
  <c r="I457" i="1"/>
  <c r="H458" i="1"/>
  <c r="I458" i="1"/>
  <c r="H459" i="1"/>
  <c r="I459" i="1"/>
  <c r="H460" i="1"/>
  <c r="I460" i="1" s="1"/>
  <c r="H461" i="1"/>
  <c r="I461" i="1" s="1"/>
  <c r="H462" i="1"/>
  <c r="I462" i="1"/>
  <c r="H463" i="1"/>
  <c r="I463" i="1"/>
  <c r="H464" i="1"/>
  <c r="I464" i="1"/>
  <c r="H465" i="1"/>
  <c r="I465" i="1"/>
  <c r="H466" i="1"/>
  <c r="I466" i="1" s="1"/>
  <c r="H467" i="1"/>
  <c r="I467" i="1"/>
  <c r="H468" i="1"/>
  <c r="I468" i="1"/>
  <c r="H469" i="1"/>
  <c r="I469" i="1" s="1"/>
  <c r="H470" i="1"/>
  <c r="I470" i="1" s="1"/>
  <c r="H471" i="1"/>
  <c r="I471" i="1"/>
  <c r="H472" i="1"/>
  <c r="I472" i="1" s="1"/>
  <c r="H473" i="1"/>
  <c r="I473" i="1"/>
  <c r="H474" i="1"/>
  <c r="I474" i="1" s="1"/>
  <c r="H475" i="1"/>
  <c r="I475" i="1"/>
  <c r="H476" i="1"/>
  <c r="I476" i="1"/>
  <c r="H477" i="1"/>
  <c r="I477" i="1" s="1"/>
  <c r="H478" i="1"/>
  <c r="I478" i="1" s="1"/>
  <c r="H479" i="1"/>
  <c r="I479" i="1" s="1"/>
  <c r="H480" i="1"/>
  <c r="I480" i="1"/>
  <c r="H481" i="1"/>
  <c r="I481" i="1"/>
  <c r="H482" i="1"/>
  <c r="I482" i="1" s="1"/>
  <c r="H483" i="1"/>
  <c r="I483" i="1"/>
  <c r="H484" i="1"/>
  <c r="I484" i="1" s="1"/>
  <c r="H485" i="1"/>
  <c r="I485" i="1"/>
  <c r="H486" i="1"/>
  <c r="I486" i="1" s="1"/>
  <c r="H487" i="1"/>
  <c r="I487" i="1" s="1"/>
  <c r="H488" i="1"/>
  <c r="I488" i="1"/>
  <c r="H489" i="1"/>
  <c r="I489" i="1"/>
  <c r="H490" i="1"/>
  <c r="I490" i="1" s="1"/>
  <c r="H491" i="1"/>
  <c r="I491" i="1"/>
  <c r="H492" i="1"/>
  <c r="I492" i="1"/>
  <c r="H493" i="1"/>
  <c r="I493" i="1" s="1"/>
  <c r="H494" i="1"/>
  <c r="I494" i="1"/>
  <c r="H495" i="1"/>
  <c r="I495" i="1" s="1"/>
  <c r="H496" i="1"/>
  <c r="I496" i="1" s="1"/>
  <c r="H497" i="1"/>
  <c r="I497" i="1"/>
  <c r="H498" i="1"/>
  <c r="I498" i="1"/>
  <c r="H499" i="1"/>
  <c r="I499" i="1"/>
  <c r="H500" i="1"/>
  <c r="I500" i="1" s="1"/>
  <c r="H501" i="1"/>
  <c r="I501" i="1"/>
  <c r="H502" i="1"/>
  <c r="I502" i="1" s="1"/>
  <c r="H503" i="1"/>
  <c r="I503" i="1"/>
  <c r="H504" i="1"/>
  <c r="I504" i="1"/>
  <c r="H505" i="1"/>
  <c r="I505" i="1"/>
  <c r="H506" i="1"/>
  <c r="I506" i="1"/>
  <c r="H507" i="1"/>
  <c r="I507" i="1"/>
  <c r="H508" i="1"/>
  <c r="I508" i="1" s="1"/>
  <c r="H509" i="1"/>
  <c r="I509" i="1"/>
  <c r="H510" i="1"/>
  <c r="I510" i="1"/>
  <c r="H511" i="1"/>
  <c r="I511" i="1"/>
  <c r="H512" i="1"/>
  <c r="I512" i="1" s="1"/>
  <c r="H513" i="1"/>
  <c r="I513" i="1" s="1"/>
  <c r="H514" i="1"/>
  <c r="I514" i="1" s="1"/>
  <c r="H515" i="1"/>
  <c r="I515" i="1"/>
  <c r="H516" i="1"/>
  <c r="I516" i="1"/>
  <c r="H517" i="1"/>
  <c r="I517" i="1"/>
  <c r="H518" i="1"/>
  <c r="I518" i="1"/>
  <c r="H519" i="1"/>
  <c r="I519" i="1" s="1"/>
  <c r="H520" i="1"/>
  <c r="I520" i="1"/>
  <c r="H521" i="1"/>
  <c r="I521" i="1"/>
  <c r="H522" i="1"/>
  <c r="I522" i="1"/>
  <c r="H523" i="1"/>
  <c r="I523" i="1"/>
  <c r="H524" i="1"/>
  <c r="I524" i="1"/>
  <c r="H525" i="1"/>
  <c r="I525" i="1" s="1"/>
  <c r="H526" i="1"/>
  <c r="I526" i="1"/>
  <c r="H527" i="1"/>
  <c r="I527" i="1"/>
  <c r="H528" i="1"/>
  <c r="I528" i="1"/>
  <c r="H529" i="1"/>
  <c r="I529" i="1"/>
  <c r="H530" i="1"/>
  <c r="I530" i="1"/>
  <c r="H531" i="1"/>
  <c r="I531" i="1" s="1"/>
  <c r="H532" i="1"/>
  <c r="I532" i="1" s="1"/>
  <c r="H533" i="1"/>
  <c r="I533" i="1"/>
  <c r="H534" i="1"/>
  <c r="I534" i="1"/>
  <c r="H535" i="1"/>
  <c r="I535" i="1"/>
  <c r="H536" i="1"/>
  <c r="I536" i="1"/>
  <c r="H537" i="1"/>
  <c r="I537" i="1" s="1"/>
  <c r="H538" i="1"/>
  <c r="I538" i="1"/>
  <c r="H539" i="1"/>
  <c r="I539" i="1"/>
  <c r="H540" i="1"/>
  <c r="I540" i="1" s="1"/>
  <c r="H541" i="1"/>
  <c r="I541" i="1"/>
  <c r="H542" i="1"/>
  <c r="I542" i="1"/>
  <c r="H543" i="1"/>
  <c r="I543" i="1" s="1"/>
  <c r="H544" i="1"/>
  <c r="I544" i="1"/>
  <c r="H545" i="1"/>
  <c r="I545" i="1"/>
  <c r="H546" i="1"/>
  <c r="I546" i="1"/>
  <c r="H547" i="1"/>
  <c r="I547" i="1"/>
  <c r="H548" i="1"/>
  <c r="I548" i="1"/>
  <c r="H549" i="1"/>
  <c r="I549" i="1" s="1"/>
  <c r="H550" i="1"/>
  <c r="I550" i="1"/>
  <c r="H551" i="1"/>
  <c r="I551" i="1"/>
  <c r="H552" i="1"/>
  <c r="I552" i="1"/>
  <c r="H553" i="1"/>
  <c r="I553" i="1" s="1"/>
  <c r="H554" i="1"/>
  <c r="I554" i="1"/>
  <c r="H555" i="1"/>
  <c r="I555" i="1" s="1"/>
  <c r="H556" i="1"/>
  <c r="I556" i="1"/>
  <c r="H557" i="1"/>
  <c r="I557" i="1"/>
  <c r="H558" i="1"/>
  <c r="I558" i="1" s="1"/>
  <c r="H559" i="1"/>
  <c r="I559" i="1"/>
  <c r="H560" i="1"/>
  <c r="I560" i="1"/>
  <c r="H561" i="1"/>
  <c r="I561" i="1" s="1"/>
  <c r="H562" i="1"/>
  <c r="I562" i="1"/>
  <c r="H563" i="1"/>
  <c r="I563" i="1"/>
  <c r="H564" i="1"/>
  <c r="I564" i="1"/>
  <c r="H565" i="1"/>
  <c r="I565" i="1"/>
  <c r="H566" i="1"/>
  <c r="I566" i="1" s="1"/>
  <c r="H567" i="1"/>
  <c r="I567" i="1" s="1"/>
  <c r="H568" i="1"/>
  <c r="I568" i="1"/>
  <c r="H569" i="1"/>
  <c r="I569" i="1"/>
  <c r="H570" i="1"/>
  <c r="I570" i="1"/>
  <c r="H571" i="1"/>
  <c r="I571" i="1" s="1"/>
  <c r="H572" i="1"/>
  <c r="I572" i="1"/>
  <c r="H573" i="1"/>
  <c r="I573" i="1" s="1"/>
  <c r="H574" i="1"/>
  <c r="I574" i="1"/>
  <c r="H575" i="1"/>
  <c r="I575" i="1"/>
  <c r="H576" i="1"/>
  <c r="I576" i="1"/>
  <c r="H577" i="1"/>
  <c r="I577" i="1"/>
  <c r="H578" i="1"/>
  <c r="I578" i="1"/>
  <c r="H579" i="1"/>
  <c r="I579" i="1" s="1"/>
  <c r="H580" i="1"/>
  <c r="I580" i="1"/>
  <c r="H581" i="1"/>
  <c r="I581" i="1"/>
  <c r="H582" i="1"/>
  <c r="I582" i="1"/>
  <c r="H583" i="1"/>
  <c r="I583" i="1"/>
  <c r="H584" i="1"/>
  <c r="I584" i="1" s="1"/>
  <c r="H585" i="1"/>
  <c r="I585" i="1" s="1"/>
  <c r="H586" i="1"/>
  <c r="I586" i="1" s="1"/>
  <c r="H587" i="1"/>
  <c r="I587" i="1"/>
  <c r="H588" i="1"/>
  <c r="I588" i="1"/>
  <c r="H589" i="1"/>
  <c r="I589" i="1"/>
  <c r="H590" i="1"/>
  <c r="I590" i="1"/>
  <c r="H591" i="1"/>
  <c r="I591" i="1" s="1"/>
  <c r="H592" i="1"/>
  <c r="I592" i="1"/>
  <c r="H593" i="1"/>
  <c r="I593" i="1"/>
  <c r="H594" i="1"/>
  <c r="I594" i="1"/>
  <c r="H595" i="1"/>
  <c r="I595" i="1"/>
  <c r="H596" i="1"/>
  <c r="I596" i="1"/>
  <c r="H597" i="1"/>
  <c r="I597" i="1" s="1"/>
  <c r="H598" i="1"/>
  <c r="I598" i="1"/>
  <c r="H599" i="1"/>
  <c r="I599" i="1"/>
  <c r="H600" i="1"/>
  <c r="I600" i="1"/>
  <c r="H601" i="1"/>
  <c r="I601" i="1"/>
  <c r="H602" i="1"/>
  <c r="I602" i="1"/>
  <c r="H603" i="1"/>
  <c r="I603" i="1" s="1"/>
  <c r="H604" i="1"/>
  <c r="I604" i="1" s="1"/>
  <c r="H605" i="1"/>
  <c r="I605" i="1"/>
  <c r="H606" i="1"/>
  <c r="I606" i="1"/>
  <c r="H607" i="1"/>
  <c r="I607" i="1"/>
  <c r="H608" i="1"/>
  <c r="I608" i="1"/>
  <c r="H609" i="1"/>
  <c r="I609" i="1" s="1"/>
  <c r="H610" i="1"/>
  <c r="I610" i="1"/>
  <c r="H611" i="1"/>
  <c r="I611" i="1"/>
  <c r="H612" i="1"/>
  <c r="I612" i="1" s="1"/>
  <c r="H613" i="1"/>
  <c r="I613" i="1"/>
  <c r="H614" i="1"/>
  <c r="I614" i="1"/>
  <c r="H615" i="1"/>
  <c r="I615" i="1" s="1"/>
  <c r="H616" i="1"/>
  <c r="I616" i="1"/>
  <c r="H617" i="1"/>
  <c r="I617" i="1"/>
  <c r="H618" i="1"/>
  <c r="I618" i="1"/>
  <c r="H619" i="1"/>
  <c r="I619" i="1"/>
  <c r="H620" i="1"/>
  <c r="I620" i="1"/>
  <c r="H621" i="1"/>
  <c r="I621" i="1" s="1"/>
  <c r="H622" i="1"/>
  <c r="I622" i="1"/>
  <c r="H623" i="1"/>
  <c r="I623" i="1"/>
  <c r="H624" i="1"/>
  <c r="I624" i="1"/>
  <c r="H625" i="1"/>
  <c r="I625" i="1" s="1"/>
  <c r="H626" i="1"/>
  <c r="I626" i="1"/>
  <c r="H627" i="1"/>
  <c r="I627" i="1" s="1"/>
  <c r="H628" i="1"/>
  <c r="I628" i="1"/>
  <c r="H629" i="1"/>
  <c r="I629" i="1"/>
  <c r="H630" i="1"/>
  <c r="I630" i="1" s="1"/>
  <c r="H631" i="1"/>
  <c r="I631" i="1"/>
  <c r="H632" i="1"/>
  <c r="I632" i="1"/>
  <c r="H633" i="1"/>
  <c r="I633" i="1" s="1"/>
  <c r="H634" i="1"/>
  <c r="I634" i="1"/>
  <c r="H635" i="1"/>
  <c r="I635" i="1"/>
  <c r="H636" i="1"/>
  <c r="I636" i="1"/>
  <c r="H637" i="1"/>
  <c r="I637" i="1"/>
  <c r="H638" i="1"/>
  <c r="I638" i="1" s="1"/>
  <c r="H639" i="1"/>
  <c r="I639" i="1" s="1"/>
  <c r="H640" i="1"/>
  <c r="I640" i="1"/>
  <c r="H641" i="1"/>
  <c r="I641" i="1"/>
  <c r="H642" i="1"/>
  <c r="I642" i="1"/>
  <c r="H643" i="1"/>
  <c r="I643" i="1" s="1"/>
  <c r="H644" i="1"/>
  <c r="I644" i="1"/>
  <c r="H645" i="1"/>
  <c r="I645" i="1" s="1"/>
  <c r="H646" i="1"/>
  <c r="I646" i="1"/>
  <c r="H647" i="1"/>
  <c r="I647" i="1"/>
  <c r="H648" i="1"/>
  <c r="I648" i="1"/>
  <c r="H649" i="1"/>
  <c r="I649" i="1"/>
  <c r="H650" i="1"/>
  <c r="I650" i="1"/>
  <c r="H651" i="1"/>
  <c r="I651" i="1" s="1"/>
  <c r="H652" i="1"/>
  <c r="I652" i="1"/>
  <c r="H653" i="1"/>
  <c r="I653" i="1"/>
  <c r="H654" i="1"/>
  <c r="I654" i="1"/>
  <c r="H655" i="1"/>
  <c r="I655" i="1"/>
  <c r="H656" i="1"/>
  <c r="I656" i="1" s="1"/>
  <c r="H657" i="1"/>
  <c r="I657" i="1" s="1"/>
  <c r="H658" i="1"/>
  <c r="I658" i="1" s="1"/>
  <c r="H659" i="1"/>
  <c r="I659" i="1"/>
  <c r="H660" i="1"/>
  <c r="I660" i="1"/>
  <c r="H661" i="1"/>
  <c r="I661" i="1"/>
  <c r="H662" i="1"/>
  <c r="I662" i="1"/>
  <c r="H663" i="1"/>
  <c r="I663" i="1" s="1"/>
  <c r="H664" i="1"/>
  <c r="I664" i="1"/>
  <c r="H665" i="1"/>
  <c r="I665" i="1"/>
  <c r="H666" i="1"/>
  <c r="I666" i="1"/>
  <c r="H667" i="1"/>
  <c r="I667" i="1"/>
  <c r="H668" i="1"/>
  <c r="I668" i="1"/>
  <c r="H669" i="1"/>
  <c r="I669" i="1" s="1"/>
  <c r="H670" i="1"/>
  <c r="I670" i="1"/>
  <c r="H671" i="1"/>
  <c r="I671" i="1"/>
  <c r="H672" i="1"/>
  <c r="I672" i="1"/>
  <c r="H673" i="1"/>
  <c r="I673" i="1"/>
  <c r="H674" i="1"/>
  <c r="I674" i="1"/>
  <c r="H675" i="1"/>
  <c r="I675" i="1" s="1"/>
  <c r="H676" i="1"/>
  <c r="I676" i="1" s="1"/>
  <c r="H677" i="1"/>
  <c r="I677" i="1"/>
  <c r="H678" i="1"/>
  <c r="I678" i="1"/>
  <c r="H679" i="1"/>
  <c r="I679" i="1"/>
  <c r="H680" i="1"/>
  <c r="I680" i="1"/>
  <c r="H681" i="1"/>
  <c r="I681" i="1" s="1"/>
  <c r="H682" i="1"/>
  <c r="I682" i="1"/>
  <c r="H683" i="1"/>
  <c r="I683" i="1"/>
  <c r="H684" i="1"/>
  <c r="I684" i="1" s="1"/>
  <c r="H685" i="1"/>
  <c r="I685" i="1"/>
  <c r="H686" i="1"/>
  <c r="I686" i="1"/>
  <c r="H687" i="1"/>
  <c r="I687" i="1" s="1"/>
  <c r="H688" i="1"/>
  <c r="I688" i="1"/>
  <c r="H689" i="1"/>
  <c r="I689" i="1"/>
  <c r="H690" i="1"/>
  <c r="I690" i="1"/>
  <c r="H691" i="1"/>
  <c r="I691" i="1"/>
  <c r="H692" i="1"/>
  <c r="I692" i="1"/>
  <c r="H693" i="1"/>
  <c r="I693" i="1" s="1"/>
  <c r="H694" i="1"/>
  <c r="I694" i="1"/>
  <c r="H695" i="1"/>
  <c r="I695" i="1"/>
  <c r="H696" i="1"/>
  <c r="I696" i="1"/>
  <c r="H697" i="1"/>
  <c r="I697" i="1" s="1"/>
  <c r="H698" i="1"/>
  <c r="I698" i="1"/>
  <c r="H699" i="1"/>
  <c r="I699" i="1" s="1"/>
  <c r="H700" i="1"/>
  <c r="I700" i="1"/>
  <c r="H701" i="1"/>
  <c r="I701" i="1"/>
  <c r="H702" i="1"/>
  <c r="I702" i="1" s="1"/>
  <c r="H703" i="1"/>
  <c r="I703" i="1"/>
  <c r="H704" i="1"/>
  <c r="I704" i="1"/>
  <c r="H705" i="1"/>
  <c r="I705" i="1" s="1"/>
  <c r="H706" i="1"/>
  <c r="I706" i="1"/>
  <c r="H707" i="1"/>
  <c r="I707" i="1"/>
  <c r="H708" i="1"/>
  <c r="I708" i="1"/>
  <c r="H709" i="1"/>
  <c r="I709" i="1"/>
  <c r="H710" i="1"/>
  <c r="I710" i="1" s="1"/>
  <c r="H711" i="1"/>
  <c r="I711" i="1" s="1"/>
  <c r="H712" i="1"/>
  <c r="I712" i="1"/>
  <c r="H713" i="1"/>
  <c r="I713" i="1"/>
  <c r="H714" i="1"/>
  <c r="I714" i="1"/>
  <c r="H715" i="1"/>
  <c r="I715" i="1" s="1"/>
  <c r="H716" i="1"/>
  <c r="I716" i="1"/>
  <c r="H717" i="1"/>
  <c r="I717" i="1" s="1"/>
  <c r="H718" i="1"/>
  <c r="I718" i="1"/>
  <c r="H719" i="1"/>
  <c r="I719" i="1"/>
  <c r="H720" i="1"/>
  <c r="I720" i="1" s="1"/>
  <c r="H721" i="1"/>
  <c r="I721" i="1"/>
  <c r="H722" i="1"/>
  <c r="I722" i="1"/>
  <c r="H723" i="1"/>
  <c r="I723" i="1" s="1"/>
  <c r="H724" i="1"/>
  <c r="I724" i="1"/>
  <c r="H725" i="1"/>
  <c r="I725" i="1"/>
  <c r="H726" i="1"/>
  <c r="I726" i="1"/>
  <c r="H727" i="1"/>
  <c r="I727" i="1"/>
  <c r="H728" i="1"/>
  <c r="I728" i="1" s="1"/>
  <c r="H729" i="1"/>
  <c r="I729" i="1" s="1"/>
  <c r="H730" i="1"/>
  <c r="I730" i="1" s="1"/>
  <c r="H731" i="1"/>
  <c r="I731" i="1"/>
  <c r="H732" i="1"/>
  <c r="I732" i="1"/>
  <c r="H733" i="1"/>
  <c r="I733" i="1" s="1"/>
  <c r="H734" i="1"/>
  <c r="I734" i="1"/>
  <c r="H735" i="1"/>
  <c r="I735" i="1" s="1"/>
  <c r="H736" i="1"/>
  <c r="I736" i="1"/>
  <c r="H737" i="1"/>
  <c r="I737" i="1"/>
  <c r="H738" i="1"/>
  <c r="I738" i="1"/>
  <c r="H739" i="1"/>
  <c r="I739" i="1"/>
  <c r="H740" i="1"/>
  <c r="I740" i="1"/>
  <c r="H741" i="1"/>
  <c r="I741" i="1" s="1"/>
  <c r="H742" i="1"/>
  <c r="I742" i="1"/>
  <c r="H743" i="1"/>
  <c r="I743" i="1"/>
  <c r="H744" i="1"/>
  <c r="I744" i="1"/>
  <c r="H745" i="1"/>
  <c r="I745" i="1"/>
  <c r="H746" i="1"/>
  <c r="I746" i="1" s="1"/>
  <c r="H747" i="1"/>
  <c r="I747" i="1" s="1"/>
  <c r="H748" i="1"/>
  <c r="I748" i="1" s="1"/>
  <c r="H749" i="1"/>
  <c r="I749" i="1"/>
  <c r="H750" i="1"/>
  <c r="I750" i="1"/>
  <c r="H751" i="1"/>
  <c r="I751" i="1"/>
  <c r="H752" i="1"/>
  <c r="I752" i="1"/>
  <c r="H753" i="1"/>
  <c r="I753" i="1" s="1"/>
  <c r="H754" i="1"/>
  <c r="I754" i="1"/>
  <c r="H755" i="1"/>
  <c r="I755" i="1"/>
  <c r="H756" i="1"/>
  <c r="I756" i="1" s="1"/>
  <c r="H757" i="1"/>
  <c r="I757" i="1"/>
  <c r="H758" i="1"/>
  <c r="I758" i="1"/>
  <c r="H759" i="1"/>
  <c r="I759" i="1" s="1"/>
  <c r="H760" i="1"/>
  <c r="I760" i="1"/>
  <c r="H761" i="1"/>
  <c r="I761" i="1"/>
  <c r="H762" i="1"/>
  <c r="I762" i="1"/>
  <c r="H763" i="1"/>
  <c r="I763" i="1"/>
  <c r="H764" i="1"/>
  <c r="I764" i="1"/>
  <c r="H765" i="1"/>
  <c r="I765" i="1" s="1"/>
  <c r="H766" i="1"/>
  <c r="I766" i="1"/>
  <c r="H767" i="1"/>
  <c r="I767" i="1"/>
  <c r="H768" i="1"/>
  <c r="I768" i="1"/>
  <c r="H769" i="1"/>
  <c r="I769" i="1" s="1"/>
  <c r="H770" i="1"/>
  <c r="I770" i="1"/>
  <c r="H771" i="1"/>
  <c r="I771" i="1" s="1"/>
  <c r="H772" i="1"/>
  <c r="I772" i="1"/>
  <c r="H773" i="1"/>
  <c r="I773" i="1"/>
  <c r="H774" i="1"/>
  <c r="I774" i="1" s="1"/>
  <c r="H775" i="1"/>
  <c r="I775" i="1"/>
  <c r="H776" i="1"/>
  <c r="I776" i="1"/>
  <c r="H777" i="1"/>
  <c r="I777" i="1" s="1"/>
  <c r="H778" i="1"/>
  <c r="I778" i="1"/>
  <c r="H779" i="1"/>
  <c r="I779" i="1"/>
  <c r="H780" i="1"/>
  <c r="I780" i="1"/>
  <c r="H781" i="1"/>
  <c r="I781" i="1"/>
  <c r="H782" i="1"/>
  <c r="I782" i="1" s="1"/>
  <c r="H783" i="1"/>
  <c r="I783" i="1" s="1"/>
  <c r="H784" i="1"/>
  <c r="I784" i="1"/>
  <c r="H785" i="1"/>
  <c r="I785" i="1"/>
  <c r="H786" i="1"/>
  <c r="I786" i="1"/>
  <c r="H787" i="1"/>
  <c r="I787" i="1" s="1"/>
  <c r="H788" i="1"/>
  <c r="I788" i="1"/>
  <c r="H789" i="1"/>
  <c r="I789" i="1" s="1"/>
  <c r="H790" i="1"/>
  <c r="I790" i="1"/>
  <c r="H791" i="1"/>
  <c r="I791" i="1"/>
  <c r="H792" i="1"/>
  <c r="I792" i="1"/>
  <c r="H793" i="1"/>
  <c r="I793" i="1"/>
  <c r="H794" i="1"/>
  <c r="I794" i="1"/>
  <c r="H795" i="1"/>
  <c r="I795" i="1" s="1"/>
  <c r="H796" i="1"/>
  <c r="I796" i="1"/>
  <c r="H797" i="1"/>
  <c r="I797" i="1"/>
  <c r="H798" i="1"/>
  <c r="I798" i="1"/>
  <c r="H799" i="1"/>
  <c r="I799" i="1"/>
  <c r="H800" i="1"/>
  <c r="I800" i="1" s="1"/>
  <c r="H801" i="1"/>
  <c r="I801" i="1" s="1"/>
  <c r="H802" i="1"/>
  <c r="I802" i="1" s="1"/>
  <c r="H803" i="1"/>
  <c r="I803" i="1"/>
  <c r="H804" i="1"/>
  <c r="I804" i="1"/>
  <c r="H805" i="1"/>
  <c r="I805" i="1"/>
  <c r="H806" i="1"/>
  <c r="I806" i="1"/>
  <c r="H807" i="1"/>
  <c r="I807" i="1" s="1"/>
  <c r="H808" i="1"/>
  <c r="I808" i="1"/>
  <c r="H809" i="1"/>
  <c r="I809" i="1"/>
  <c r="H810" i="1"/>
  <c r="I810" i="1"/>
  <c r="H811" i="1"/>
  <c r="I811" i="1"/>
  <c r="H812" i="1"/>
  <c r="I812" i="1"/>
  <c r="H813" i="1"/>
  <c r="I813" i="1" s="1"/>
  <c r="H814" i="1"/>
  <c r="I814" i="1"/>
  <c r="H815" i="1"/>
  <c r="I815" i="1"/>
  <c r="H816" i="1"/>
  <c r="I816" i="1"/>
  <c r="H817" i="1"/>
  <c r="I817" i="1"/>
  <c r="H818" i="1"/>
  <c r="I818" i="1"/>
  <c r="H819" i="1"/>
  <c r="I819" i="1" s="1"/>
  <c r="H820" i="1"/>
  <c r="I820" i="1"/>
  <c r="H821" i="1"/>
  <c r="I821" i="1"/>
  <c r="H822" i="1"/>
  <c r="I822" i="1"/>
  <c r="H823" i="1"/>
  <c r="I823" i="1"/>
  <c r="H824" i="1"/>
  <c r="I824" i="1"/>
  <c r="H825" i="1"/>
  <c r="I825" i="1" s="1"/>
  <c r="H826" i="1"/>
  <c r="I826" i="1"/>
  <c r="H827" i="1"/>
  <c r="I827" i="1"/>
  <c r="H828" i="1"/>
  <c r="I828" i="1"/>
  <c r="H829" i="1"/>
  <c r="I829" i="1"/>
  <c r="H830" i="1"/>
  <c r="I830" i="1"/>
  <c r="H831" i="1"/>
  <c r="I831" i="1" s="1"/>
  <c r="H832" i="1"/>
  <c r="I832" i="1"/>
  <c r="H833" i="1"/>
  <c r="I833" i="1"/>
  <c r="H834" i="1"/>
  <c r="I834" i="1"/>
  <c r="H835" i="1"/>
  <c r="I835" i="1"/>
  <c r="H836" i="1"/>
  <c r="I836" i="1"/>
  <c r="H837" i="1"/>
  <c r="I837" i="1" s="1"/>
  <c r="H838" i="1"/>
  <c r="I838" i="1"/>
  <c r="H839" i="1"/>
  <c r="I839" i="1"/>
  <c r="H840" i="1"/>
  <c r="I840" i="1"/>
  <c r="H841" i="1"/>
  <c r="I841" i="1"/>
  <c r="H842" i="1"/>
  <c r="I842" i="1"/>
  <c r="H843" i="1"/>
  <c r="I843" i="1" s="1"/>
  <c r="H844" i="1"/>
  <c r="I844" i="1"/>
  <c r="H845" i="1"/>
  <c r="I845" i="1"/>
  <c r="H846" i="1"/>
  <c r="I846" i="1"/>
  <c r="H847" i="1"/>
  <c r="I847" i="1"/>
  <c r="H848" i="1"/>
  <c r="I848" i="1"/>
  <c r="H849" i="1"/>
  <c r="I849" i="1" s="1"/>
  <c r="H850" i="1"/>
  <c r="I850" i="1"/>
  <c r="H851" i="1"/>
  <c r="I851" i="1"/>
  <c r="H852" i="1"/>
  <c r="I852" i="1"/>
  <c r="H853" i="1"/>
  <c r="I853" i="1"/>
  <c r="H854" i="1"/>
  <c r="I854" i="1"/>
  <c r="H855" i="1"/>
  <c r="I855" i="1" s="1"/>
  <c r="H856" i="1"/>
  <c r="I856" i="1"/>
  <c r="H857" i="1"/>
  <c r="I857" i="1"/>
  <c r="H858" i="1"/>
  <c r="I858" i="1"/>
  <c r="H859" i="1"/>
  <c r="I859" i="1"/>
  <c r="H860" i="1"/>
  <c r="I860" i="1"/>
  <c r="H861" i="1"/>
  <c r="I861" i="1" s="1"/>
  <c r="H862" i="1"/>
  <c r="I862" i="1"/>
  <c r="H863" i="1"/>
  <c r="I863" i="1"/>
  <c r="H864" i="1"/>
  <c r="I864" i="1"/>
  <c r="H865" i="1"/>
  <c r="I865" i="1"/>
  <c r="H866" i="1"/>
  <c r="I866" i="1"/>
  <c r="H867" i="1"/>
  <c r="I867" i="1" s="1"/>
  <c r="H868" i="1"/>
  <c r="I868" i="1"/>
  <c r="H869" i="1"/>
  <c r="I869" i="1"/>
  <c r="H870" i="1"/>
  <c r="I870" i="1"/>
  <c r="H871" i="1"/>
  <c r="I871" i="1"/>
  <c r="H872" i="1"/>
  <c r="I872" i="1"/>
  <c r="H873" i="1"/>
  <c r="I873" i="1" s="1"/>
  <c r="H874" i="1"/>
  <c r="I874" i="1"/>
  <c r="H875" i="1"/>
  <c r="I875" i="1"/>
  <c r="H876" i="1"/>
  <c r="I876" i="1"/>
  <c r="H877" i="1"/>
  <c r="I877" i="1"/>
  <c r="H878" i="1"/>
  <c r="I878" i="1"/>
  <c r="H879" i="1"/>
  <c r="I879" i="1" s="1"/>
  <c r="H880" i="1"/>
  <c r="I880" i="1"/>
  <c r="H881" i="1"/>
  <c r="I881" i="1"/>
  <c r="H882" i="1"/>
  <c r="I882" i="1"/>
  <c r="H883" i="1"/>
  <c r="I883" i="1"/>
  <c r="H884" i="1"/>
  <c r="I884" i="1"/>
  <c r="H885" i="1"/>
  <c r="I885" i="1" s="1"/>
  <c r="H886" i="1"/>
  <c r="I886" i="1"/>
  <c r="H887" i="1"/>
  <c r="I887" i="1"/>
  <c r="H888" i="1"/>
  <c r="I888" i="1"/>
  <c r="H889" i="1"/>
  <c r="I889" i="1"/>
  <c r="H890" i="1"/>
  <c r="I890" i="1"/>
  <c r="H891" i="1"/>
  <c r="I891" i="1" s="1"/>
  <c r="H892" i="1"/>
  <c r="I892" i="1"/>
  <c r="H893" i="1"/>
  <c r="I893" i="1"/>
  <c r="H894" i="1"/>
  <c r="I894" i="1"/>
  <c r="H895" i="1"/>
  <c r="I895" i="1"/>
  <c r="H896" i="1"/>
  <c r="I896" i="1"/>
  <c r="H897" i="1"/>
  <c r="I897" i="1" s="1"/>
  <c r="H898" i="1"/>
  <c r="I898" i="1"/>
  <c r="H899" i="1"/>
  <c r="I899" i="1"/>
  <c r="H900" i="1"/>
  <c r="I900" i="1"/>
  <c r="H901" i="1"/>
  <c r="I901" i="1"/>
  <c r="H902" i="1"/>
  <c r="I902" i="1"/>
  <c r="H903" i="1"/>
  <c r="I903" i="1" s="1"/>
  <c r="H904" i="1"/>
  <c r="I904" i="1"/>
  <c r="H905" i="1"/>
  <c r="I905" i="1"/>
  <c r="H906" i="1"/>
  <c r="I906" i="1"/>
  <c r="H907" i="1"/>
  <c r="I907" i="1"/>
  <c r="H908" i="1"/>
  <c r="I908" i="1"/>
  <c r="H909" i="1"/>
  <c r="I909" i="1" s="1"/>
  <c r="H910" i="1"/>
  <c r="I910" i="1"/>
  <c r="H911" i="1"/>
  <c r="I911" i="1"/>
  <c r="H912" i="1"/>
  <c r="I912" i="1"/>
  <c r="H913" i="1"/>
  <c r="I913" i="1"/>
  <c r="H914" i="1"/>
  <c r="I914" i="1"/>
  <c r="H915" i="1"/>
  <c r="I915" i="1" s="1"/>
  <c r="H916" i="1"/>
  <c r="I916" i="1"/>
  <c r="H917" i="1"/>
  <c r="I917" i="1"/>
  <c r="H918" i="1"/>
  <c r="I918" i="1"/>
  <c r="H919" i="1"/>
  <c r="I919" i="1"/>
  <c r="H920" i="1"/>
  <c r="I920" i="1"/>
  <c r="H921" i="1"/>
  <c r="I921" i="1" s="1"/>
  <c r="H922" i="1"/>
  <c r="I922" i="1"/>
  <c r="H923" i="1"/>
  <c r="I923" i="1"/>
  <c r="H924" i="1"/>
  <c r="I924" i="1"/>
  <c r="H925" i="1"/>
  <c r="I925" i="1"/>
  <c r="H926" i="1"/>
  <c r="I926" i="1"/>
  <c r="H927" i="1"/>
  <c r="I927" i="1" s="1"/>
  <c r="H928" i="1"/>
  <c r="I928" i="1"/>
  <c r="H929" i="1"/>
  <c r="I929" i="1"/>
  <c r="H930" i="1"/>
  <c r="I930" i="1"/>
  <c r="H931" i="1"/>
  <c r="I931" i="1"/>
  <c r="H932" i="1"/>
  <c r="I932" i="1"/>
  <c r="H933" i="1"/>
  <c r="I933" i="1" s="1"/>
  <c r="H934" i="1"/>
  <c r="I934" i="1"/>
  <c r="H935" i="1"/>
  <c r="I935" i="1"/>
  <c r="H936" i="1"/>
  <c r="I936" i="1"/>
  <c r="H937" i="1"/>
  <c r="I937" i="1"/>
  <c r="H938" i="1"/>
  <c r="I938" i="1"/>
  <c r="H939" i="1"/>
  <c r="I939" i="1" s="1"/>
  <c r="H940" i="1"/>
  <c r="I940" i="1"/>
  <c r="H941" i="1"/>
  <c r="I941" i="1"/>
  <c r="H942" i="1"/>
  <c r="I942" i="1"/>
  <c r="H943" i="1"/>
  <c r="I943" i="1"/>
  <c r="H944" i="1"/>
  <c r="I944" i="1"/>
  <c r="H945" i="1"/>
  <c r="I945" i="1" s="1"/>
  <c r="H946" i="1"/>
  <c r="I946" i="1"/>
  <c r="H947" i="1"/>
  <c r="I947" i="1"/>
  <c r="H948" i="1"/>
  <c r="I948" i="1"/>
  <c r="H949" i="1"/>
  <c r="I949" i="1"/>
  <c r="H950" i="1"/>
  <c r="I950" i="1"/>
  <c r="H951" i="1"/>
  <c r="I951" i="1" s="1"/>
  <c r="H952" i="1"/>
  <c r="I952" i="1"/>
  <c r="H953" i="1"/>
  <c r="I953" i="1"/>
  <c r="H954" i="1"/>
  <c r="I954" i="1"/>
  <c r="H955" i="1"/>
  <c r="I955" i="1"/>
  <c r="H956" i="1"/>
  <c r="I956" i="1"/>
  <c r="H957" i="1"/>
  <c r="I957" i="1" s="1"/>
  <c r="H958" i="1"/>
  <c r="I958" i="1"/>
  <c r="H959" i="1"/>
  <c r="I959" i="1"/>
  <c r="H960" i="1"/>
  <c r="I960" i="1"/>
  <c r="H961" i="1"/>
  <c r="I961" i="1"/>
  <c r="H962" i="1"/>
  <c r="I962" i="1"/>
  <c r="H963" i="1"/>
  <c r="I963" i="1" s="1"/>
  <c r="H964" i="1"/>
  <c r="I964" i="1"/>
  <c r="H965" i="1"/>
  <c r="I965" i="1"/>
  <c r="H966" i="1"/>
  <c r="I966" i="1"/>
  <c r="H967" i="1"/>
  <c r="I967" i="1"/>
  <c r="H968" i="1"/>
  <c r="I968" i="1"/>
  <c r="H969" i="1"/>
  <c r="I969" i="1" s="1"/>
  <c r="H970" i="1"/>
  <c r="I970" i="1"/>
  <c r="H971" i="1"/>
  <c r="I971" i="1"/>
  <c r="H972" i="1"/>
  <c r="I972" i="1"/>
  <c r="H973" i="1"/>
  <c r="I973" i="1"/>
  <c r="H974" i="1"/>
  <c r="I974" i="1"/>
  <c r="H975" i="1"/>
  <c r="I975" i="1" s="1"/>
  <c r="H976" i="1"/>
  <c r="I976" i="1"/>
  <c r="H977" i="1"/>
  <c r="I977" i="1"/>
  <c r="H978" i="1"/>
  <c r="I978" i="1"/>
  <c r="H979" i="1"/>
  <c r="I979" i="1"/>
  <c r="H980" i="1"/>
  <c r="I980" i="1"/>
  <c r="H981" i="1"/>
  <c r="I981" i="1" s="1"/>
  <c r="H982" i="1"/>
  <c r="I982" i="1"/>
  <c r="H983" i="1"/>
  <c r="I983" i="1"/>
  <c r="H984" i="1"/>
  <c r="I984" i="1"/>
  <c r="H985" i="1"/>
  <c r="I985" i="1"/>
  <c r="H986" i="1"/>
  <c r="I986" i="1"/>
  <c r="H987" i="1"/>
  <c r="I987" i="1" s="1"/>
  <c r="H988" i="1"/>
  <c r="I988" i="1"/>
  <c r="H989" i="1"/>
  <c r="I989" i="1"/>
  <c r="H990" i="1"/>
  <c r="I990" i="1"/>
  <c r="H991" i="1"/>
  <c r="I991" i="1"/>
  <c r="H992" i="1"/>
  <c r="I992" i="1"/>
  <c r="H993" i="1"/>
  <c r="I993" i="1" s="1"/>
  <c r="H994" i="1"/>
  <c r="I994" i="1"/>
  <c r="H995" i="1"/>
  <c r="I995" i="1"/>
  <c r="H996" i="1"/>
  <c r="I996" i="1"/>
  <c r="H997" i="1"/>
  <c r="I997" i="1"/>
  <c r="H998" i="1"/>
  <c r="I998" i="1"/>
  <c r="H999" i="1"/>
  <c r="I999" i="1" s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 s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 s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 s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 s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 s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 s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 s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 s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 s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 s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 s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 s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 s="1"/>
  <c r="H1078" i="1"/>
  <c r="I1078" i="1"/>
  <c r="H1079" i="1"/>
  <c r="I1079" i="1"/>
  <c r="H1080" i="1"/>
  <c r="I1080" i="1"/>
  <c r="H1081" i="1"/>
  <c r="I1081" i="1"/>
  <c r="H1082" i="1"/>
  <c r="I1082" i="1"/>
  <c r="H1083" i="1"/>
  <c r="I1083" i="1" s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 s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 s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 s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 s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 s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 s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 s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 s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 s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 s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 s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 s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 s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 s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 s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 s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 s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 s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 s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 s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 s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 s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 s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 s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 s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 s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 s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 s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 s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 s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 s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 s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 s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 s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 s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 s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 s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 s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 s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 s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 s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 s="1"/>
  <c r="H1336" i="1"/>
  <c r="I1336" i="1"/>
  <c r="H1337" i="1"/>
  <c r="I1337" i="1"/>
  <c r="H1338" i="1"/>
  <c r="I1338" i="1"/>
  <c r="H1339" i="1"/>
  <c r="I1339" i="1"/>
  <c r="I2" i="1"/>
  <c r="H2" i="1"/>
  <c r="P18" i="1"/>
  <c r="P17" i="1"/>
  <c r="P16" i="1"/>
  <c r="P15" i="1"/>
  <c r="Q10" i="1" l="1"/>
  <c r="Q9" i="1"/>
  <c r="P10" i="1"/>
  <c r="P9" i="1"/>
  <c r="M2" i="1" l="1"/>
  <c r="M55" i="1" l="1"/>
  <c r="M52" i="1"/>
  <c r="M49" i="1"/>
  <c r="M15" i="1"/>
  <c r="M50" i="1"/>
  <c r="M44" i="1"/>
  <c r="M12" i="1"/>
  <c r="M27" i="1"/>
  <c r="M11" i="1"/>
  <c r="M16" i="1"/>
  <c r="M39" i="1"/>
  <c r="M13" i="1"/>
  <c r="M17" i="1"/>
  <c r="M18" i="1"/>
  <c r="M42" i="1"/>
  <c r="M38" i="1"/>
  <c r="M30" i="1"/>
  <c r="M26" i="1"/>
  <c r="M22" i="1"/>
  <c r="M14" i="1"/>
  <c r="M9" i="1"/>
  <c r="M51" i="1"/>
  <c r="M32" i="1"/>
  <c r="M10" i="1"/>
  <c r="M37" i="1"/>
  <c r="M24" i="1"/>
  <c r="M31" i="1"/>
  <c r="M19" i="1"/>
  <c r="M48" i="1"/>
  <c r="M29" i="1"/>
  <c r="M25" i="1"/>
  <c r="M35" i="1"/>
  <c r="M54" i="1"/>
  <c r="M46" i="1"/>
  <c r="M45" i="1"/>
  <c r="M43" i="1"/>
  <c r="M41" i="1"/>
  <c r="M21" i="1"/>
  <c r="M34" i="1"/>
  <c r="M53" i="1"/>
  <c r="M47" i="1"/>
  <c r="M23" i="1"/>
  <c r="M36" i="1"/>
  <c r="M28" i="1"/>
  <c r="M20" i="1"/>
  <c r="M40" i="1"/>
  <c r="M33" i="1"/>
  <c r="M5" i="1"/>
</calcChain>
</file>

<file path=xl/sharedStrings.xml><?xml version="1.0" encoding="utf-8"?>
<sst xmlns="http://schemas.openxmlformats.org/spreadsheetml/2006/main" count="4067" uniqueCount="30">
  <si>
    <t>age</t>
  </si>
  <si>
    <t>sex</t>
  </si>
  <si>
    <t>bmi</t>
  </si>
  <si>
    <t>children</t>
  </si>
  <si>
    <t>smoker</t>
  </si>
  <si>
    <t>region</t>
  </si>
  <si>
    <t>premium / Expenses</t>
  </si>
  <si>
    <t>northwest</t>
  </si>
  <si>
    <t>southwest</t>
  </si>
  <si>
    <t>northeast</t>
  </si>
  <si>
    <t>southeast</t>
  </si>
  <si>
    <t>Total Insured</t>
  </si>
  <si>
    <t>Premium Paid Per Head</t>
  </si>
  <si>
    <t>ctrl+shift+D</t>
  </si>
  <si>
    <t>Male</t>
  </si>
  <si>
    <t>Female</t>
  </si>
  <si>
    <t>No</t>
  </si>
  <si>
    <t>Yes</t>
  </si>
  <si>
    <t>Shortkey for Macro : Calculating one by one</t>
  </si>
  <si>
    <t>Shortkey for Macro : Calculating all data in one go</t>
  </si>
  <si>
    <t>Average Premium Paid Per Head</t>
  </si>
  <si>
    <t>Average Premium/ Expenses</t>
  </si>
  <si>
    <t>Average premium per head for each age</t>
  </si>
  <si>
    <t>Sex</t>
  </si>
  <si>
    <t>Count of Smokers</t>
  </si>
  <si>
    <t>Count of Non Smokers</t>
  </si>
  <si>
    <t>Region</t>
  </si>
  <si>
    <t>ctrl+shift+A  (select the H2 cell then press)</t>
  </si>
  <si>
    <t>count of people who smoke</t>
  </si>
  <si>
    <t>Count of people who smoke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</si>
</sst>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sz val="11"/>
      <color theme="5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6666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2" borderId="1" xfId="0" applyFont="1" applyFill="1" applyBorder="1"/>
    <xf numFmtId="0" fontId="2" fillId="0" borderId="1" xfId="0" applyFont="1" applyBorder="1" applyAlignment="1">
      <alignment horizontal="right"/>
    </xf>
    <xf numFmtId="0" fontId="2" fillId="0" borderId="1" xfId="0" applyFont="1" applyBorder="1"/>
    <xf numFmtId="2" fontId="2" fillId="0" borderId="1" xfId="0" applyNumberFormat="1" applyFont="1" applyBorder="1" applyAlignment="1">
      <alignment horizontal="right"/>
    </xf>
    <xf numFmtId="2" fontId="2" fillId="0" borderId="2" xfId="0" applyNumberFormat="1" applyFont="1" applyBorder="1" applyAlignment="1">
      <alignment horizontal="right"/>
    </xf>
    <xf numFmtId="2" fontId="0" fillId="0" borderId="0" xfId="0" applyNumberFormat="1"/>
    <xf numFmtId="2" fontId="1" fillId="2" borderId="1" xfId="0" applyNumberFormat="1" applyFont="1" applyFill="1" applyBorder="1"/>
    <xf numFmtId="49" fontId="0" fillId="3" borderId="3" xfId="0" applyNumberFormat="1" applyFill="1" applyBorder="1" applyAlignment="1">
      <alignment horizontal="left"/>
    </xf>
    <xf numFmtId="0" fontId="0" fillId="4" borderId="6" xfId="0" applyFill="1" applyBorder="1"/>
    <xf numFmtId="0" fontId="2" fillId="0" borderId="2" xfId="0" applyFont="1" applyBorder="1" applyAlignment="1">
      <alignment horizontal="right"/>
    </xf>
    <xf numFmtId="2" fontId="3" fillId="3" borderId="4" xfId="0" applyNumberFormat="1" applyFont="1" applyFill="1" applyBorder="1"/>
    <xf numFmtId="0" fontId="2" fillId="0" borderId="2" xfId="0" applyFont="1" applyBorder="1"/>
    <xf numFmtId="0" fontId="0" fillId="5" borderId="6" xfId="0" applyFill="1" applyBorder="1"/>
    <xf numFmtId="49" fontId="0" fillId="6" borderId="3" xfId="0" applyNumberFormat="1" applyFill="1" applyBorder="1" applyAlignment="1">
      <alignment horizontal="left"/>
    </xf>
    <xf numFmtId="2" fontId="0" fillId="6" borderId="3" xfId="0" applyNumberFormat="1" applyFill="1" applyBorder="1" applyAlignment="1">
      <alignment horizontal="right"/>
    </xf>
    <xf numFmtId="0" fontId="0" fillId="0" borderId="0" xfId="0" applyAlignment="1">
      <alignment horizontal="left"/>
    </xf>
    <xf numFmtId="0" fontId="0" fillId="5" borderId="5" xfId="0" applyFill="1" applyBorder="1" applyAlignment="1">
      <alignment horizontal="left"/>
    </xf>
    <xf numFmtId="0" fontId="0" fillId="4" borderId="5" xfId="0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7" xfId="0" applyFont="1" applyBorder="1" applyAlignment="1">
      <alignment horizontal="left"/>
    </xf>
    <xf numFmtId="0" fontId="1" fillId="2" borderId="8" xfId="0" applyFont="1" applyFill="1" applyBorder="1" applyAlignment="1">
      <alignment horizontal="left"/>
    </xf>
    <xf numFmtId="0" fontId="1" fillId="2" borderId="9" xfId="0" applyFont="1" applyFill="1" applyBorder="1" applyAlignment="1">
      <alignment horizontal="left"/>
    </xf>
    <xf numFmtId="0" fontId="0" fillId="0" borderId="0" xfId="0" applyNumberFormat="1"/>
    <xf numFmtId="0" fontId="1" fillId="2" borderId="8" xfId="0" applyFont="1" applyFill="1" applyBorder="1"/>
    <xf numFmtId="0" fontId="2" fillId="0" borderId="9" xfId="0" applyFont="1" applyBorder="1"/>
    <xf numFmtId="0" fontId="2" fillId="0" borderId="2" xfId="0" applyFont="1" applyFill="1" applyBorder="1"/>
    <xf numFmtId="0" fontId="2" fillId="0" borderId="2" xfId="0" applyFont="1" applyFill="1" applyBorder="1" applyAlignment="1">
      <alignment horizontal="right"/>
    </xf>
    <xf numFmtId="2" fontId="2" fillId="0" borderId="2" xfId="0" applyNumberFormat="1" applyFont="1" applyFill="1" applyBorder="1" applyAlignment="1">
      <alignment horizontal="right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numFmt numFmtId="0" formatCode="General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left style="medium">
          <color rgb="FFCCCCCC"/>
        </left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none"/>
      </font>
      <fill>
        <patternFill patternType="solid">
          <fgColor indexed="64"/>
          <bgColor rgb="FF666666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bg1"/>
                </a:solidFill>
                <a:effectLst>
                  <a:glow>
                    <a:schemeClr val="accent1">
                      <a:alpha val="89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r>
              <a:rPr lang="en-IN" sz="1400" b="1" i="0" u="none" strike="noStrike" cap="none" baseline="0">
                <a:effectLst>
                  <a:glow>
                    <a:srgbClr val="5B9BD5">
                      <a:alpha val="89000"/>
                    </a:srgbClr>
                  </a:glow>
                </a:effectLst>
              </a:rPr>
              <a:t>Relationship between the Average Premium Per Head and Age. </a:t>
            </a:r>
            <a:endParaRPr lang="en-IN"/>
          </a:p>
        </c:rich>
      </c:tx>
      <c:layout>
        <c:manualLayout>
          <c:xMode val="edge"/>
          <c:yMode val="edge"/>
          <c:x val="0.29750666012959937"/>
          <c:y val="3.4591114329099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bg1"/>
              </a:solidFill>
              <a:effectLst>
                <a:glow>
                  <a:schemeClr val="accent1">
                    <a:alpha val="89000"/>
                  </a:schemeClr>
                </a:glo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'Insurance Dataset Analysis'!$L$8</c:f>
              <c:strCache>
                <c:ptCount val="1"/>
                <c:pt idx="0">
                  <c:v>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effectLst>
                      <a:glow>
                        <a:schemeClr val="accent1">
                          <a:alpha val="89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'Insurance Dataset Analysis'!$L$9:$L$55</c:f>
              <c:numCache>
                <c:formatCode>General</c:formatCode>
                <c:ptCount val="47"/>
                <c:pt idx="0">
                  <c:v>64</c:v>
                </c:pt>
                <c:pt idx="1">
                  <c:v>63</c:v>
                </c:pt>
                <c:pt idx="2">
                  <c:v>62</c:v>
                </c:pt>
                <c:pt idx="3">
                  <c:v>61</c:v>
                </c:pt>
                <c:pt idx="4">
                  <c:v>60</c:v>
                </c:pt>
                <c:pt idx="5">
                  <c:v>59</c:v>
                </c:pt>
                <c:pt idx="6">
                  <c:v>58</c:v>
                </c:pt>
                <c:pt idx="7">
                  <c:v>57</c:v>
                </c:pt>
                <c:pt idx="8">
                  <c:v>56</c:v>
                </c:pt>
                <c:pt idx="9">
                  <c:v>55</c:v>
                </c:pt>
                <c:pt idx="10">
                  <c:v>54</c:v>
                </c:pt>
                <c:pt idx="11">
                  <c:v>53</c:v>
                </c:pt>
                <c:pt idx="12">
                  <c:v>52</c:v>
                </c:pt>
                <c:pt idx="13">
                  <c:v>51</c:v>
                </c:pt>
                <c:pt idx="14">
                  <c:v>50</c:v>
                </c:pt>
                <c:pt idx="15">
                  <c:v>49</c:v>
                </c:pt>
                <c:pt idx="16">
                  <c:v>48</c:v>
                </c:pt>
                <c:pt idx="17">
                  <c:v>47</c:v>
                </c:pt>
                <c:pt idx="18">
                  <c:v>46</c:v>
                </c:pt>
                <c:pt idx="19">
                  <c:v>45</c:v>
                </c:pt>
                <c:pt idx="20">
                  <c:v>44</c:v>
                </c:pt>
                <c:pt idx="21">
                  <c:v>43</c:v>
                </c:pt>
                <c:pt idx="22">
                  <c:v>42</c:v>
                </c:pt>
                <c:pt idx="23">
                  <c:v>41</c:v>
                </c:pt>
                <c:pt idx="24">
                  <c:v>40</c:v>
                </c:pt>
                <c:pt idx="25">
                  <c:v>39</c:v>
                </c:pt>
                <c:pt idx="26">
                  <c:v>38</c:v>
                </c:pt>
                <c:pt idx="27">
                  <c:v>37</c:v>
                </c:pt>
                <c:pt idx="28">
                  <c:v>36</c:v>
                </c:pt>
                <c:pt idx="29">
                  <c:v>35</c:v>
                </c:pt>
                <c:pt idx="30">
                  <c:v>34</c:v>
                </c:pt>
                <c:pt idx="31">
                  <c:v>33</c:v>
                </c:pt>
                <c:pt idx="32">
                  <c:v>32</c:v>
                </c:pt>
                <c:pt idx="33">
                  <c:v>31</c:v>
                </c:pt>
                <c:pt idx="34">
                  <c:v>30</c:v>
                </c:pt>
                <c:pt idx="35">
                  <c:v>29</c:v>
                </c:pt>
                <c:pt idx="36">
                  <c:v>28</c:v>
                </c:pt>
                <c:pt idx="37">
                  <c:v>27</c:v>
                </c:pt>
                <c:pt idx="38">
                  <c:v>26</c:v>
                </c:pt>
                <c:pt idx="39">
                  <c:v>25</c:v>
                </c:pt>
                <c:pt idx="40">
                  <c:v>24</c:v>
                </c:pt>
                <c:pt idx="41">
                  <c:v>23</c:v>
                </c:pt>
                <c:pt idx="42">
                  <c:v>22</c:v>
                </c:pt>
                <c:pt idx="43">
                  <c:v>21</c:v>
                </c:pt>
                <c:pt idx="44">
                  <c:v>20</c:v>
                </c:pt>
                <c:pt idx="45">
                  <c:v>19</c:v>
                </c:pt>
                <c:pt idx="46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E-4061-B779-320704B1226C}"/>
            </c:ext>
          </c:extLst>
        </c:ser>
        <c:ser>
          <c:idx val="1"/>
          <c:order val="1"/>
          <c:tx>
            <c:strRef>
              <c:f>'Insurance Dataset Analysis'!$M$8</c:f>
              <c:strCache>
                <c:ptCount val="1"/>
                <c:pt idx="0">
                  <c:v>Average premium per head for each age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effectLst>
                      <a:glow>
                        <a:schemeClr val="accent1">
                          <a:alpha val="89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'Insurance Dataset Analysis'!$M$9:$M$55</c:f>
              <c:numCache>
                <c:formatCode>0.00</c:formatCode>
                <c:ptCount val="47"/>
                <c:pt idx="0">
                  <c:v>16187.065075757575</c:v>
                </c:pt>
                <c:pt idx="1">
                  <c:v>16390.902137681158</c:v>
                </c:pt>
                <c:pt idx="2">
                  <c:v>14677.168804347821</c:v>
                </c:pt>
                <c:pt idx="3">
                  <c:v>15297.283014492754</c:v>
                </c:pt>
                <c:pt idx="4">
                  <c:v>19448.705760869565</c:v>
                </c:pt>
                <c:pt idx="5">
                  <c:v>10932.092333333332</c:v>
                </c:pt>
                <c:pt idx="6">
                  <c:v>11750.175933333332</c:v>
                </c:pt>
                <c:pt idx="7">
                  <c:v>12748.351602564104</c:v>
                </c:pt>
                <c:pt idx="8">
                  <c:v>10936.468987179487</c:v>
                </c:pt>
                <c:pt idx="9">
                  <c:v>11437.414807692308</c:v>
                </c:pt>
                <c:pt idx="10">
                  <c:v>10141.672023809526</c:v>
                </c:pt>
                <c:pt idx="11">
                  <c:v>9324.0432440476197</c:v>
                </c:pt>
                <c:pt idx="12">
                  <c:v>9172.1377011494242</c:v>
                </c:pt>
                <c:pt idx="13">
                  <c:v>8618.8306321839082</c:v>
                </c:pt>
                <c:pt idx="14">
                  <c:v>8678.2486666666682</c:v>
                </c:pt>
                <c:pt idx="15">
                  <c:v>6699.034029761905</c:v>
                </c:pt>
                <c:pt idx="16">
                  <c:v>8602.9391379310364</c:v>
                </c:pt>
                <c:pt idx="17">
                  <c:v>9235.6927183908047</c:v>
                </c:pt>
                <c:pt idx="18">
                  <c:v>7166.9012356321837</c:v>
                </c:pt>
                <c:pt idx="19">
                  <c:v>8952.8402586206903</c:v>
                </c:pt>
                <c:pt idx="20">
                  <c:v>9119.0374074074061</c:v>
                </c:pt>
                <c:pt idx="21">
                  <c:v>9674.3116666666665</c:v>
                </c:pt>
                <c:pt idx="22">
                  <c:v>7784.2855555555561</c:v>
                </c:pt>
                <c:pt idx="23">
                  <c:v>4485.4729629629628</c:v>
                </c:pt>
                <c:pt idx="24">
                  <c:v>5215.0319012345681</c:v>
                </c:pt>
                <c:pt idx="25">
                  <c:v>4840.7138599999998</c:v>
                </c:pt>
                <c:pt idx="26">
                  <c:v>3702.3883999999998</c:v>
                </c:pt>
                <c:pt idx="27">
                  <c:v>10310.551666666666</c:v>
                </c:pt>
                <c:pt idx="28">
                  <c:v>6548.692846666665</c:v>
                </c:pt>
                <c:pt idx="29">
                  <c:v>4687.9201599999997</c:v>
                </c:pt>
                <c:pt idx="30">
                  <c:v>6374.8486858974347</c:v>
                </c:pt>
                <c:pt idx="31">
                  <c:v>8531.3684871794867</c:v>
                </c:pt>
                <c:pt idx="32">
                  <c:v>4671.1879230769227</c:v>
                </c:pt>
                <c:pt idx="33">
                  <c:v>4805.2850308641982</c:v>
                </c:pt>
                <c:pt idx="34">
                  <c:v>6419.8471296296293</c:v>
                </c:pt>
                <c:pt idx="35">
                  <c:v>6020.556876543209</c:v>
                </c:pt>
                <c:pt idx="36">
                  <c:v>5352.3188988095226</c:v>
                </c:pt>
                <c:pt idx="37">
                  <c:v>8868.8355357142846</c:v>
                </c:pt>
                <c:pt idx="38">
                  <c:v>3107.5084940476195</c:v>
                </c:pt>
                <c:pt idx="39">
                  <c:v>5525.6464166666674</c:v>
                </c:pt>
                <c:pt idx="40">
                  <c:v>9612.0902440476202</c:v>
                </c:pt>
                <c:pt idx="41">
                  <c:v>7159.8383928571429</c:v>
                </c:pt>
                <c:pt idx="42">
                  <c:v>6206.2722619047627</c:v>
                </c:pt>
                <c:pt idx="43">
                  <c:v>2721.6506964285704</c:v>
                </c:pt>
                <c:pt idx="44">
                  <c:v>6715.8860919540239</c:v>
                </c:pt>
                <c:pt idx="45">
                  <c:v>8318.573725490196</c:v>
                </c:pt>
                <c:pt idx="46">
                  <c:v>5844.5385942029006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0E-4061-B779-320704B1226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77712080"/>
        <c:axId val="1977710640"/>
      </c:lineChart>
      <c:catAx>
        <c:axId val="1977712080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>
                        <a:schemeClr val="accent1">
                          <a:alpha val="89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>
            <c:manualLayout>
              <c:xMode val="edge"/>
              <c:yMode val="edge"/>
              <c:x val="0.45916735089284133"/>
              <c:y val="0.96507281655105159"/>
            </c:manualLayout>
          </c:layout>
          <c:overlay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effectLst>
                    <a:glow>
                      <a:schemeClr val="accent1">
                        <a:alpha val="89000"/>
                      </a:schemeClr>
                    </a:glo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crossAx val="1977710640"/>
        <c:crosses val="autoZero"/>
        <c:auto val="1"/>
        <c:lblAlgn val="ctr"/>
        <c:lblOffset val="100"/>
        <c:noMultiLvlLbl val="0"/>
      </c:catAx>
      <c:valAx>
        <c:axId val="19777106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effectLst>
                      <a:glow>
                        <a:schemeClr val="accent1">
                          <a:alpha val="89000"/>
                        </a:schemeClr>
                      </a:glow>
                    </a:effectLst>
                    <a:latin typeface="+mn-lt"/>
                    <a:ea typeface="+mn-ea"/>
                    <a:cs typeface="+mn-cs"/>
                  </a:defRPr>
                </a:pPr>
                <a:r>
                  <a:rPr lang="en-IN" sz="900" b="1" i="0" u="none" strike="noStrike" kern="1200" cap="none" baseline="0">
                    <a:solidFill>
                      <a:sysClr val="window" lastClr="FFFFFF"/>
                    </a:solidFill>
                    <a:effectLst>
                      <a:glow>
                        <a:srgbClr val="5B9BD5">
                          <a:alpha val="89000"/>
                        </a:srgbClr>
                      </a:glow>
                    </a:effectLst>
                  </a:rPr>
                  <a:t>Average Premium Per Head </a:t>
                </a:r>
                <a:endParaRPr lang="en-IN"/>
              </a:p>
            </c:rich>
          </c:tx>
          <c:overlay val="0"/>
          <c:spPr>
            <a:solidFill>
              <a:schemeClr val="accent2"/>
            </a:solidFill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effectLst>
                    <a:glow>
                      <a:schemeClr val="accent1">
                        <a:alpha val="89000"/>
                      </a:schemeClr>
                    </a:glo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effectLst>
                  <a:glow>
                    <a:schemeClr val="accent1">
                      <a:alpha val="89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7712080"/>
        <c:crosses val="autoZero"/>
        <c:crossBetween val="between"/>
      </c:valAx>
      <c:spPr>
        <a:noFill/>
        <a:ln>
          <a:solidFill>
            <a:schemeClr val="accent1"/>
          </a:solidFill>
        </a:ln>
        <a:effectLst/>
      </c:spPr>
    </c:plotArea>
    <c:legend>
      <c:legendPos val="t"/>
      <c:layout>
        <c:manualLayout>
          <c:xMode val="edge"/>
          <c:yMode val="edge"/>
          <c:x val="0.34376556737609598"/>
          <c:y val="0.10245849297573435"/>
          <c:w val="0.39248887024905832"/>
          <c:h val="5.38796874528614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effectLst>
                <a:glow>
                  <a:schemeClr val="accent1">
                    <a:alpha val="89000"/>
                  </a:schemeClr>
                </a:glow>
              </a:effectLst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 rot="5400000" vert="horz" anchor="t" anchorCtr="0"/>
    <a:lstStyle/>
    <a:p>
      <a:pPr>
        <a:defRPr>
          <a:solidFill>
            <a:schemeClr val="bg1"/>
          </a:solidFill>
          <a:effectLst>
            <a:glow>
              <a:schemeClr val="accent1">
                <a:alpha val="89000"/>
              </a:schemeClr>
            </a:glow>
          </a:effectLst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N" sz="1600" b="1" i="0" u="none" strike="noStrike" baseline="0"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</a:rPr>
              <a:t>Male and Female customers who smoke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'Insurance Dataset Analysis'!$P$8</c:f>
              <c:strCache>
                <c:ptCount val="1"/>
                <c:pt idx="0">
                  <c:v>Count of Smokers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101600" prst="riblet"/>
            </a:sp3d>
          </c:spPr>
          <c:invertIfNegative val="0"/>
          <c:dLbls>
            <c:dLbl>
              <c:idx val="0"/>
              <c:layout>
                <c:manualLayout>
                  <c:x val="-1.6666666666666691E-2"/>
                  <c:y val="-2.2082015270785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6AE-409C-A7B1-BB324142FF80}"/>
                </c:ext>
              </c:extLst>
            </c:dLbl>
            <c:dLbl>
              <c:idx val="1"/>
              <c:layout>
                <c:manualLayout>
                  <c:x val="-1.3888888888888888E-2"/>
                  <c:y val="-3.68033587846431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6AE-409C-A7B1-BB324142FF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'Insurance Dataset Analysis'!$O$9:$O$10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'Insurance Dataset Analysis'!$P$9:$P$10</c:f>
              <c:numCache>
                <c:formatCode>General</c:formatCode>
                <c:ptCount val="2"/>
                <c:pt idx="0">
                  <c:v>159</c:v>
                </c:pt>
                <c:pt idx="1">
                  <c:v>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AE-409C-A7B1-BB324142FF80}"/>
            </c:ext>
          </c:extLst>
        </c:ser>
        <c:ser>
          <c:idx val="1"/>
          <c:order val="1"/>
          <c:tx>
            <c:strRef>
              <c:f>'Insurance Dataset Analysis'!$Q$8</c:f>
              <c:strCache>
                <c:ptCount val="1"/>
                <c:pt idx="0">
                  <c:v>Count of Non Smokers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-2.7777777777777776E-2"/>
                  <c:y val="-5.14233148551884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6AE-409C-A7B1-BB324142FF80}"/>
                </c:ext>
              </c:extLst>
            </c:dLbl>
            <c:dLbl>
              <c:idx val="1"/>
              <c:layout>
                <c:manualLayout>
                  <c:x val="-1.9444444444444445E-2"/>
                  <c:y val="-3.21395717844928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6AE-409C-A7B1-BB324142FF8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'Insurance Dataset Analysis'!$O$9:$O$10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'Insurance Dataset Analysis'!$Q$9:$Q$10</c:f>
              <c:numCache>
                <c:formatCode>General</c:formatCode>
                <c:ptCount val="2"/>
                <c:pt idx="0">
                  <c:v>517</c:v>
                </c:pt>
                <c:pt idx="1">
                  <c:v>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AE-409C-A7B1-BB324142FF8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gapDepth val="53"/>
        <c:shape val="box"/>
        <c:axId val="1331591935"/>
        <c:axId val="1331595775"/>
        <c:axId val="0"/>
      </c:bar3DChart>
      <c:catAx>
        <c:axId val="1331591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595775"/>
        <c:crosses val="autoZero"/>
        <c:auto val="1"/>
        <c:lblAlgn val="ctr"/>
        <c:lblOffset val="100"/>
        <c:noMultiLvlLbl val="0"/>
      </c:catAx>
      <c:valAx>
        <c:axId val="13315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1591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7164785155321767"/>
          <c:w val="0.98951246719160102"/>
          <c:h val="0.12835203713006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Count of people who smoke</a:t>
            </a:r>
          </a:p>
        </c:rich>
      </c:tx>
      <c:overlay val="0"/>
      <c:spPr>
        <a:solidFill>
          <a:schemeClr val="accent2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'Insurance Dataset Analysis'!$P$14</c:f>
              <c:strCache>
                <c:ptCount val="1"/>
                <c:pt idx="0">
                  <c:v>count of people who smoke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535-43C4-81E4-9CFAA0F378A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535-43C4-81E4-9CFAA0F378A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2535-43C4-81E4-9CFAA0F378A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2535-43C4-81E4-9CFAA0F378A8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'Insurance Dataset Analysis'!$O$15:$O$18</c:f>
              <c:strCache>
                <c:ptCount val="4"/>
                <c:pt idx="0">
                  <c:v>northwest</c:v>
                </c:pt>
                <c:pt idx="1">
                  <c:v>southwest</c:v>
                </c:pt>
                <c:pt idx="2">
                  <c:v>northeast</c:v>
                </c:pt>
                <c:pt idx="3">
                  <c:v>southeast</c:v>
                </c:pt>
              </c:strCache>
            </c:strRef>
          </c:cat>
          <c:val>
            <c:numRef>
              <c:f>'Insurance Dataset Analysis'!$P$15:$P$18</c:f>
              <c:numCache>
                <c:formatCode>General</c:formatCode>
                <c:ptCount val="4"/>
                <c:pt idx="0">
                  <c:v>58</c:v>
                </c:pt>
                <c:pt idx="1">
                  <c:v>58</c:v>
                </c:pt>
                <c:pt idx="2">
                  <c:v>67</c:v>
                </c:pt>
                <c:pt idx="3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535-43C4-81E4-9CFAA0F378A8}"/>
            </c:ext>
          </c:extLst>
        </c:ser>
        <c:dLbls>
          <c:dLblPos val="ctr"/>
          <c:showLegendKey val="0"/>
          <c:showVal val="1"/>
          <c:showCatName val="1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accent1">
            <a:lumMod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16</xdr:col>
      <xdr:colOff>403860</xdr:colOff>
      <xdr:row>25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086616-AF9B-4F5C-A150-1A0218DF30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411480</xdr:colOff>
      <xdr:row>0</xdr:row>
      <xdr:rowOff>167640</xdr:rowOff>
    </xdr:from>
    <xdr:to>
      <xdr:col>24</xdr:col>
      <xdr:colOff>106680</xdr:colOff>
      <xdr:row>22</xdr:row>
      <xdr:rowOff>95795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6E5FCA-D59B-4C67-A473-A4D59CE979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26</xdr:row>
      <xdr:rowOff>9895</xdr:rowOff>
    </xdr:from>
    <xdr:to>
      <xdr:col>9</xdr:col>
      <xdr:colOff>524494</xdr:colOff>
      <xdr:row>44</xdr:row>
      <xdr:rowOff>138545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FF1A0B0-0575-47E8-906D-21728B0A6E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93A284-871C-4378-B8C4-B38A5B690EB8}" name="Table1" displayName="Table1" ref="L8:M55" totalsRowShown="0" headerRowDxfId="13" headerRowBorderDxfId="12" tableBorderDxfId="11">
  <autoFilter ref="L8:M55" xr:uid="{0393A284-871C-4378-B8C4-B38A5B690EB8}"/>
  <tableColumns count="2">
    <tableColumn id="1" xr3:uid="{A9D0C76B-E7A3-47C4-9A9F-003D1F3DE4A0}" name="age" dataDxfId="10"/>
    <tableColumn id="2" xr3:uid="{F1E2ADAC-1B7F-40CE-AD8C-969D56A9D212}" name="Average premium per head for each age" dataDxfId="9">
      <calculatedColumnFormula>AVERAGEIFS(I:I,A:A,L9)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C9F5164-575E-43A9-A7D5-634D6A729ABB}" name="Table2" displayName="Table2" ref="O8:Q11" totalsRowShown="0">
  <autoFilter ref="O8:Q11" xr:uid="{EC9F5164-575E-43A9-A7D5-634D6A729ABB}"/>
  <tableColumns count="3">
    <tableColumn id="1" xr3:uid="{805446E5-3F22-4AC3-B327-A70F62F5895A}" name="Sex"/>
    <tableColumn id="2" xr3:uid="{6EC83830-3CF3-4485-9DCE-3698B5BF6E01}" name="Count of Smokers">
      <calculatedColumnFormula>#REF!</calculatedColumnFormula>
    </tableColumn>
    <tableColumn id="3" xr3:uid="{A7458464-42A8-4713-9E82-505126525E0B}" name="Count of Non Smokers" dataDxfId="8">
      <calculatedColumnFormula>COUNTIFS(B2:B1048576,"Male",E2:E1048576,"No")</calculatedColumnFormula>
    </tableColumn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9F0D690-5C75-4962-9D09-E592299BC223}" name="Table5" displayName="Table5" ref="O14:P18" totalsRowShown="0">
  <autoFilter ref="O14:P18" xr:uid="{99F0D690-5C75-4962-9D09-E592299BC223}"/>
  <tableColumns count="2">
    <tableColumn id="1" xr3:uid="{CB6F79D6-AF30-47DF-B02B-546DF9734AB1}" name="Region" dataDxfId="7"/>
    <tableColumn id="2" xr3:uid="{D632B6F4-98BC-4AE9-9709-302A5464444F}" name="count of people who smoke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1351"/>
  <sheetViews>
    <sheetView tabSelected="1" zoomScale="72" zoomScaleNormal="70" workbookViewId="0">
      <pane ySplit="1" topLeftCell="A2" activePane="bottomLeft" state="frozen"/>
      <selection pane="bottomLeft" activeCell="J24" sqref="J24"/>
    </sheetView>
  </sheetViews>
  <sheetFormatPr defaultRowHeight="14.4" x14ac:dyDescent="0.3"/>
  <cols>
    <col min="1" max="1" width="6.33203125" customWidth="1"/>
    <col min="2" max="2" width="6.6640625" bestFit="1" customWidth="1"/>
    <col min="3" max="3" width="6" bestFit="1" customWidth="1"/>
    <col min="4" max="4" width="7.77734375" bestFit="1" customWidth="1"/>
    <col min="5" max="5" width="7.21875" bestFit="1" customWidth="1"/>
    <col min="6" max="6" width="10" bestFit="1" customWidth="1"/>
    <col min="7" max="7" width="18.33203125" style="6" bestFit="1" customWidth="1"/>
    <col min="8" max="8" width="12" bestFit="1" customWidth="1"/>
    <col min="9" max="9" width="21" style="6" bestFit="1" customWidth="1"/>
    <col min="12" max="12" width="42.33203125" style="16" bestFit="1" customWidth="1"/>
    <col min="13" max="13" width="36.5546875" customWidth="1"/>
    <col min="15" max="15" width="9.6640625" bestFit="1" customWidth="1"/>
    <col min="16" max="16" width="26.6640625" customWidth="1"/>
    <col min="17" max="17" width="24.109375" bestFit="1" customWidth="1"/>
  </cols>
  <sheetData>
    <row r="1" spans="1:18" ht="15" thickBo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11</v>
      </c>
      <c r="I1" s="7" t="s">
        <v>12</v>
      </c>
    </row>
    <row r="2" spans="1:18" ht="15" thickBot="1" x14ac:dyDescent="0.35">
      <c r="A2" s="2">
        <v>64</v>
      </c>
      <c r="B2" s="3" t="s">
        <v>14</v>
      </c>
      <c r="C2" s="2">
        <v>24.7</v>
      </c>
      <c r="D2" s="2">
        <v>1</v>
      </c>
      <c r="E2" s="3" t="s">
        <v>16</v>
      </c>
      <c r="F2" s="3" t="s">
        <v>7</v>
      </c>
      <c r="G2" s="4">
        <v>30166.62</v>
      </c>
      <c r="H2">
        <f>D2+1</f>
        <v>2</v>
      </c>
      <c r="I2" s="6">
        <f>G2/H2</f>
        <v>15083.31</v>
      </c>
      <c r="L2" s="8" t="s">
        <v>21</v>
      </c>
      <c r="M2" s="11">
        <f>AVERAGE(G2:G1048576)</f>
        <v>13270.422414050834</v>
      </c>
    </row>
    <row r="3" spans="1:18" ht="15.6" thickTop="1" thickBot="1" x14ac:dyDescent="0.35">
      <c r="A3" s="2">
        <v>64</v>
      </c>
      <c r="B3" s="3" t="s">
        <v>15</v>
      </c>
      <c r="C3" s="2">
        <v>31.3</v>
      </c>
      <c r="D3" s="2">
        <v>2</v>
      </c>
      <c r="E3" s="3" t="s">
        <v>17</v>
      </c>
      <c r="F3" s="3" t="s">
        <v>8</v>
      </c>
      <c r="G3" s="4">
        <v>47291.06</v>
      </c>
      <c r="H3">
        <f t="shared" ref="H3:H66" si="0">D3+1</f>
        <v>3</v>
      </c>
      <c r="I3" s="6">
        <f t="shared" ref="I3:I66" si="1">G3/H3</f>
        <v>15763.686666666666</v>
      </c>
      <c r="L3" s="17" t="s">
        <v>18</v>
      </c>
      <c r="M3" s="13" t="s">
        <v>13</v>
      </c>
    </row>
    <row r="4" spans="1:18" ht="15.6" thickTop="1" thickBot="1" x14ac:dyDescent="0.35">
      <c r="A4" s="2">
        <v>64</v>
      </c>
      <c r="B4" s="3" t="s">
        <v>15</v>
      </c>
      <c r="C4" s="2">
        <v>39.299999999999997</v>
      </c>
      <c r="D4" s="2">
        <v>0</v>
      </c>
      <c r="E4" s="3" t="s">
        <v>16</v>
      </c>
      <c r="F4" s="3" t="s">
        <v>9</v>
      </c>
      <c r="G4" s="4">
        <v>14901.52</v>
      </c>
      <c r="H4">
        <f t="shared" si="0"/>
        <v>1</v>
      </c>
      <c r="I4" s="6">
        <f t="shared" si="1"/>
        <v>14901.52</v>
      </c>
      <c r="L4" s="18" t="s">
        <v>19</v>
      </c>
      <c r="M4" s="9" t="s">
        <v>27</v>
      </c>
    </row>
    <row r="5" spans="1:18" ht="15" thickBot="1" x14ac:dyDescent="0.35">
      <c r="A5" s="2">
        <v>64</v>
      </c>
      <c r="B5" s="3" t="s">
        <v>15</v>
      </c>
      <c r="C5" s="2">
        <v>33.799999999999997</v>
      </c>
      <c r="D5" s="2">
        <v>1</v>
      </c>
      <c r="E5" s="3" t="s">
        <v>17</v>
      </c>
      <c r="F5" s="3" t="s">
        <v>8</v>
      </c>
      <c r="G5" s="4">
        <v>47928.03</v>
      </c>
      <c r="H5">
        <f t="shared" si="0"/>
        <v>2</v>
      </c>
      <c r="I5" s="6">
        <f t="shared" si="1"/>
        <v>23964.014999999999</v>
      </c>
      <c r="L5" s="14" t="s">
        <v>20</v>
      </c>
      <c r="M5" s="15">
        <f>AVERAGE(I2:I1048576)</f>
        <v>8269.5909478076737</v>
      </c>
    </row>
    <row r="6" spans="1:18" ht="15" thickBot="1" x14ac:dyDescent="0.35">
      <c r="A6" s="2">
        <v>64</v>
      </c>
      <c r="B6" s="3" t="s">
        <v>14</v>
      </c>
      <c r="C6" s="2">
        <v>34.5</v>
      </c>
      <c r="D6" s="2">
        <v>0</v>
      </c>
      <c r="E6" s="3" t="s">
        <v>16</v>
      </c>
      <c r="F6" s="3" t="s">
        <v>8</v>
      </c>
      <c r="G6" s="4">
        <v>13822.8</v>
      </c>
      <c r="H6">
        <f t="shared" si="0"/>
        <v>1</v>
      </c>
      <c r="I6" s="6">
        <f t="shared" si="1"/>
        <v>13822.8</v>
      </c>
      <c r="K6" s="6"/>
    </row>
    <row r="7" spans="1:18" ht="15" thickBot="1" x14ac:dyDescent="0.35">
      <c r="A7" s="2">
        <v>64</v>
      </c>
      <c r="B7" s="3" t="s">
        <v>15</v>
      </c>
      <c r="C7" s="2">
        <v>30.1</v>
      </c>
      <c r="D7" s="2">
        <v>3</v>
      </c>
      <c r="E7" s="3" t="s">
        <v>16</v>
      </c>
      <c r="F7" s="3" t="s">
        <v>7</v>
      </c>
      <c r="G7" s="4">
        <v>16455.71</v>
      </c>
      <c r="H7">
        <f t="shared" si="0"/>
        <v>4</v>
      </c>
      <c r="I7" s="6">
        <f t="shared" si="1"/>
        <v>4113.9274999999998</v>
      </c>
    </row>
    <row r="8" spans="1:18" ht="15" thickBot="1" x14ac:dyDescent="0.35">
      <c r="A8" s="2">
        <v>64</v>
      </c>
      <c r="B8" s="3" t="s">
        <v>14</v>
      </c>
      <c r="C8" s="2">
        <v>25.6</v>
      </c>
      <c r="D8" s="2">
        <v>2</v>
      </c>
      <c r="E8" s="3" t="s">
        <v>16</v>
      </c>
      <c r="F8" s="3" t="s">
        <v>8</v>
      </c>
      <c r="G8" s="4">
        <v>14988.43</v>
      </c>
      <c r="H8">
        <f t="shared" si="0"/>
        <v>3</v>
      </c>
      <c r="I8" s="6">
        <f t="shared" si="1"/>
        <v>4996.1433333333334</v>
      </c>
      <c r="L8" s="22" t="s">
        <v>0</v>
      </c>
      <c r="M8" s="23" t="s">
        <v>22</v>
      </c>
      <c r="O8" t="s">
        <v>23</v>
      </c>
      <c r="P8" t="s">
        <v>24</v>
      </c>
      <c r="Q8" t="s">
        <v>25</v>
      </c>
    </row>
    <row r="9" spans="1:18" ht="15" thickBot="1" x14ac:dyDescent="0.35">
      <c r="A9" s="2">
        <v>64</v>
      </c>
      <c r="B9" s="3" t="s">
        <v>15</v>
      </c>
      <c r="C9" s="2">
        <v>33</v>
      </c>
      <c r="D9" s="2">
        <v>0</v>
      </c>
      <c r="E9" s="3" t="s">
        <v>16</v>
      </c>
      <c r="F9" s="3" t="s">
        <v>7</v>
      </c>
      <c r="G9" s="4">
        <v>14692.67</v>
      </c>
      <c r="H9">
        <f t="shared" si="0"/>
        <v>1</v>
      </c>
      <c r="I9" s="6">
        <f t="shared" si="1"/>
        <v>14692.67</v>
      </c>
      <c r="L9" s="21">
        <v>64</v>
      </c>
      <c r="M9" s="6">
        <f t="shared" ref="M9:M55" si="2">AVERAGEIFS(I:I,A:A,L9)</f>
        <v>16187.065075757575</v>
      </c>
      <c r="O9" t="s">
        <v>14</v>
      </c>
      <c r="P9">
        <f>COUNTIFS(B2:B1048576, "Male", E2:E1048576, "Yes")</f>
        <v>159</v>
      </c>
      <c r="Q9">
        <f>COUNTIFS(B2:B1048576,"Male",E2:E1048576,"No")</f>
        <v>517</v>
      </c>
    </row>
    <row r="10" spans="1:18" ht="15" thickBot="1" x14ac:dyDescent="0.35">
      <c r="A10" s="2">
        <v>64</v>
      </c>
      <c r="B10" s="3" t="s">
        <v>14</v>
      </c>
      <c r="C10" s="2">
        <v>39.200000000000003</v>
      </c>
      <c r="D10" s="2">
        <v>1</v>
      </c>
      <c r="E10" s="3" t="s">
        <v>16</v>
      </c>
      <c r="F10" s="3" t="s">
        <v>10</v>
      </c>
      <c r="G10" s="4">
        <v>14418.28</v>
      </c>
      <c r="H10">
        <f t="shared" si="0"/>
        <v>2</v>
      </c>
      <c r="I10" s="6">
        <f t="shared" si="1"/>
        <v>7209.14</v>
      </c>
      <c r="L10" s="21">
        <v>63</v>
      </c>
      <c r="M10" s="6">
        <f t="shared" si="2"/>
        <v>16390.902137681158</v>
      </c>
      <c r="O10" t="s">
        <v>15</v>
      </c>
      <c r="P10">
        <f>COUNTIFS(B2:B1048576,"Female",E2:E1048576,"Yes")</f>
        <v>115</v>
      </c>
      <c r="Q10">
        <f>COUNTIFS(B2:B1048576,"Female",E2:E1048576,"No")</f>
        <v>547</v>
      </c>
    </row>
    <row r="11" spans="1:18" ht="15" thickBot="1" x14ac:dyDescent="0.35">
      <c r="A11" s="2">
        <v>64</v>
      </c>
      <c r="B11" s="3" t="s">
        <v>14</v>
      </c>
      <c r="C11" s="2">
        <v>33.9</v>
      </c>
      <c r="D11" s="2">
        <v>0</v>
      </c>
      <c r="E11" s="3" t="s">
        <v>17</v>
      </c>
      <c r="F11" s="3" t="s">
        <v>10</v>
      </c>
      <c r="G11" s="4">
        <v>46889.26</v>
      </c>
      <c r="H11">
        <f t="shared" si="0"/>
        <v>1</v>
      </c>
      <c r="I11" s="6">
        <f t="shared" si="1"/>
        <v>46889.26</v>
      </c>
      <c r="L11" s="21">
        <v>62</v>
      </c>
      <c r="M11" s="6">
        <f t="shared" si="2"/>
        <v>14677.168804347821</v>
      </c>
      <c r="O11" s="3"/>
      <c r="Q11" s="24"/>
    </row>
    <row r="12" spans="1:18" ht="15" thickBot="1" x14ac:dyDescent="0.35">
      <c r="A12" s="2">
        <v>64</v>
      </c>
      <c r="B12" s="3" t="s">
        <v>14</v>
      </c>
      <c r="C12" s="2">
        <v>40.5</v>
      </c>
      <c r="D12" s="2">
        <v>0</v>
      </c>
      <c r="E12" s="3" t="s">
        <v>16</v>
      </c>
      <c r="F12" s="3" t="s">
        <v>10</v>
      </c>
      <c r="G12" s="4">
        <v>13831.12</v>
      </c>
      <c r="H12">
        <f t="shared" si="0"/>
        <v>1</v>
      </c>
      <c r="I12" s="6">
        <f t="shared" si="1"/>
        <v>13831.12</v>
      </c>
      <c r="L12" s="21">
        <v>61</v>
      </c>
      <c r="M12" s="6">
        <f t="shared" si="2"/>
        <v>15297.283014492754</v>
      </c>
      <c r="O12" s="3"/>
    </row>
    <row r="13" spans="1:18" ht="15" thickBot="1" x14ac:dyDescent="0.35">
      <c r="A13" s="2">
        <v>64</v>
      </c>
      <c r="B13" s="3" t="s">
        <v>15</v>
      </c>
      <c r="C13" s="2">
        <v>39.1</v>
      </c>
      <c r="D13" s="2">
        <v>3</v>
      </c>
      <c r="E13" s="3" t="s">
        <v>16</v>
      </c>
      <c r="F13" s="3" t="s">
        <v>10</v>
      </c>
      <c r="G13" s="4">
        <v>16085.13</v>
      </c>
      <c r="H13">
        <f t="shared" si="0"/>
        <v>4</v>
      </c>
      <c r="I13" s="6">
        <f t="shared" si="1"/>
        <v>4021.2824999999998</v>
      </c>
      <c r="L13" s="21">
        <v>60</v>
      </c>
      <c r="M13" s="6">
        <f t="shared" si="2"/>
        <v>19448.705760869565</v>
      </c>
      <c r="O13" s="3"/>
    </row>
    <row r="14" spans="1:18" ht="15" thickBot="1" x14ac:dyDescent="0.35">
      <c r="A14" s="2">
        <v>64</v>
      </c>
      <c r="B14" s="3" t="s">
        <v>14</v>
      </c>
      <c r="C14" s="2">
        <v>38.200000000000003</v>
      </c>
      <c r="D14" s="2">
        <v>0</v>
      </c>
      <c r="E14" s="3" t="s">
        <v>16</v>
      </c>
      <c r="F14" s="3" t="s">
        <v>9</v>
      </c>
      <c r="G14" s="4">
        <v>14410.93</v>
      </c>
      <c r="H14">
        <f t="shared" si="0"/>
        <v>1</v>
      </c>
      <c r="I14" s="6">
        <f t="shared" si="1"/>
        <v>14410.93</v>
      </c>
      <c r="L14" s="21">
        <v>59</v>
      </c>
      <c r="M14" s="6">
        <f t="shared" si="2"/>
        <v>10932.092333333332</v>
      </c>
      <c r="O14" s="25" t="s">
        <v>26</v>
      </c>
      <c r="P14" t="s">
        <v>28</v>
      </c>
    </row>
    <row r="15" spans="1:18" ht="15" thickBot="1" x14ac:dyDescent="0.35">
      <c r="A15" s="2">
        <v>64</v>
      </c>
      <c r="B15" s="3" t="s">
        <v>15</v>
      </c>
      <c r="C15" s="2">
        <v>23</v>
      </c>
      <c r="D15" s="2">
        <v>0</v>
      </c>
      <c r="E15" s="3" t="s">
        <v>17</v>
      </c>
      <c r="F15" s="3" t="s">
        <v>10</v>
      </c>
      <c r="G15" s="4">
        <v>27037.91</v>
      </c>
      <c r="H15">
        <f t="shared" si="0"/>
        <v>1</v>
      </c>
      <c r="I15" s="6">
        <f t="shared" si="1"/>
        <v>27037.91</v>
      </c>
      <c r="L15" s="21">
        <v>58</v>
      </c>
      <c r="M15" s="6">
        <f t="shared" si="2"/>
        <v>11750.175933333332</v>
      </c>
      <c r="O15" s="3" t="s">
        <v>7</v>
      </c>
      <c r="P15">
        <f>COUNTIFS(F2:F1048576,O15,E2:E1048576,"Yes")</f>
        <v>58</v>
      </c>
      <c r="Q15" s="3"/>
      <c r="R15" s="3"/>
    </row>
    <row r="16" spans="1:18" ht="15" thickBot="1" x14ac:dyDescent="0.35">
      <c r="A16" s="2">
        <v>64</v>
      </c>
      <c r="B16" s="3" t="s">
        <v>14</v>
      </c>
      <c r="C16" s="2">
        <v>37.9</v>
      </c>
      <c r="D16" s="2">
        <v>0</v>
      </c>
      <c r="E16" s="3" t="s">
        <v>16</v>
      </c>
      <c r="F16" s="3" t="s">
        <v>7</v>
      </c>
      <c r="G16" s="4">
        <v>14210.54</v>
      </c>
      <c r="H16">
        <f t="shared" si="0"/>
        <v>1</v>
      </c>
      <c r="I16" s="6">
        <f t="shared" si="1"/>
        <v>14210.54</v>
      </c>
      <c r="L16" s="21">
        <v>57</v>
      </c>
      <c r="M16" s="6">
        <f t="shared" si="2"/>
        <v>12748.351602564104</v>
      </c>
      <c r="O16" s="3" t="s">
        <v>8</v>
      </c>
      <c r="P16">
        <f>COUNTIFS(F2:F1048576,O16,E2:E1048576,"Yes")</f>
        <v>58</v>
      </c>
      <c r="Q16" s="3"/>
      <c r="R16" s="3"/>
    </row>
    <row r="17" spans="1:23" ht="15" thickBot="1" x14ac:dyDescent="0.35">
      <c r="A17" s="2">
        <v>64</v>
      </c>
      <c r="B17" s="3" t="s">
        <v>15</v>
      </c>
      <c r="C17" s="2">
        <v>39.700000000000003</v>
      </c>
      <c r="D17" s="2">
        <v>0</v>
      </c>
      <c r="E17" s="3" t="s">
        <v>16</v>
      </c>
      <c r="F17" s="3" t="s">
        <v>8</v>
      </c>
      <c r="G17" s="4">
        <v>14319.03</v>
      </c>
      <c r="H17">
        <f t="shared" si="0"/>
        <v>1</v>
      </c>
      <c r="I17" s="6">
        <f t="shared" si="1"/>
        <v>14319.03</v>
      </c>
      <c r="L17" s="21">
        <v>56</v>
      </c>
      <c r="M17" s="6">
        <f t="shared" si="2"/>
        <v>10936.468987179487</v>
      </c>
      <c r="O17" s="3" t="s">
        <v>9</v>
      </c>
      <c r="P17">
        <f>COUNTIFS(F2:F1048576,O17,E2:E1048576,"Yes")</f>
        <v>67</v>
      </c>
      <c r="Q17" s="3"/>
      <c r="R17" s="3"/>
    </row>
    <row r="18" spans="1:23" ht="15" thickBot="1" x14ac:dyDescent="0.35">
      <c r="A18" s="2">
        <v>64</v>
      </c>
      <c r="B18" s="3" t="s">
        <v>15</v>
      </c>
      <c r="C18" s="2">
        <v>36</v>
      </c>
      <c r="D18" s="2">
        <v>0</v>
      </c>
      <c r="E18" s="3" t="s">
        <v>16</v>
      </c>
      <c r="F18" s="3" t="s">
        <v>10</v>
      </c>
      <c r="G18" s="4">
        <v>14313.85</v>
      </c>
      <c r="H18">
        <f t="shared" si="0"/>
        <v>1</v>
      </c>
      <c r="I18" s="6">
        <f t="shared" si="1"/>
        <v>14313.85</v>
      </c>
      <c r="L18" s="21">
        <v>55</v>
      </c>
      <c r="M18" s="6">
        <f t="shared" si="2"/>
        <v>11437.414807692308</v>
      </c>
      <c r="O18" s="3" t="s">
        <v>10</v>
      </c>
      <c r="P18">
        <f>COUNTIFS(F2:F1048576,O18,E2:E1048576,"Yes")</f>
        <v>91</v>
      </c>
      <c r="Q18" s="3"/>
      <c r="R18" s="3"/>
    </row>
    <row r="19" spans="1:23" ht="15" thickBot="1" x14ac:dyDescent="0.35">
      <c r="A19" s="2">
        <v>64</v>
      </c>
      <c r="B19" s="3" t="s">
        <v>15</v>
      </c>
      <c r="C19" s="2">
        <v>31.8</v>
      </c>
      <c r="D19" s="2">
        <v>2</v>
      </c>
      <c r="E19" s="3" t="s">
        <v>16</v>
      </c>
      <c r="F19" s="3" t="s">
        <v>9</v>
      </c>
      <c r="G19" s="4">
        <v>16069.08</v>
      </c>
      <c r="H19">
        <f t="shared" si="0"/>
        <v>3</v>
      </c>
      <c r="I19" s="6">
        <f t="shared" si="1"/>
        <v>5356.36</v>
      </c>
      <c r="L19" s="21">
        <v>54</v>
      </c>
      <c r="M19" s="6">
        <f t="shared" si="2"/>
        <v>10141.672023809526</v>
      </c>
      <c r="O19" s="3"/>
      <c r="P19" s="26"/>
      <c r="Q19" s="3"/>
      <c r="R19" s="3"/>
    </row>
    <row r="20" spans="1:23" ht="15" thickBot="1" x14ac:dyDescent="0.35">
      <c r="A20" s="2">
        <v>64</v>
      </c>
      <c r="B20" s="3" t="s">
        <v>15</v>
      </c>
      <c r="C20" s="2">
        <v>26.9</v>
      </c>
      <c r="D20" s="2">
        <v>0</v>
      </c>
      <c r="E20" s="3" t="s">
        <v>17</v>
      </c>
      <c r="F20" s="3" t="s">
        <v>7</v>
      </c>
      <c r="G20" s="4">
        <v>29330.98</v>
      </c>
      <c r="H20">
        <f t="shared" si="0"/>
        <v>1</v>
      </c>
      <c r="I20" s="6">
        <f t="shared" si="1"/>
        <v>29330.98</v>
      </c>
      <c r="L20" s="21">
        <v>53</v>
      </c>
      <c r="M20" s="6">
        <f t="shared" si="2"/>
        <v>9324.0432440476197</v>
      </c>
      <c r="O20" s="3"/>
      <c r="P20" s="3"/>
      <c r="Q20" s="3"/>
    </row>
    <row r="21" spans="1:23" ht="15" thickBot="1" x14ac:dyDescent="0.35">
      <c r="A21" s="2">
        <v>64</v>
      </c>
      <c r="B21" s="3" t="s">
        <v>14</v>
      </c>
      <c r="C21" s="2">
        <v>26.4</v>
      </c>
      <c r="D21" s="2">
        <v>0</v>
      </c>
      <c r="E21" s="3" t="s">
        <v>16</v>
      </c>
      <c r="F21" s="3" t="s">
        <v>9</v>
      </c>
      <c r="G21" s="4">
        <v>14394.56</v>
      </c>
      <c r="H21">
        <f t="shared" si="0"/>
        <v>1</v>
      </c>
      <c r="I21" s="6">
        <f t="shared" si="1"/>
        <v>14394.56</v>
      </c>
      <c r="L21" s="21">
        <v>52</v>
      </c>
      <c r="M21" s="6">
        <f t="shared" si="2"/>
        <v>9172.1377011494242</v>
      </c>
      <c r="O21" s="3"/>
      <c r="P21" s="3"/>
    </row>
    <row r="22" spans="1:23" ht="15" thickBot="1" x14ac:dyDescent="0.35">
      <c r="A22" s="2">
        <v>64</v>
      </c>
      <c r="B22" s="3" t="s">
        <v>14</v>
      </c>
      <c r="C22" s="2">
        <v>37</v>
      </c>
      <c r="D22" s="2">
        <v>2</v>
      </c>
      <c r="E22" s="3" t="s">
        <v>17</v>
      </c>
      <c r="F22" s="3" t="s">
        <v>10</v>
      </c>
      <c r="G22" s="4">
        <v>49577.66</v>
      </c>
      <c r="H22">
        <f t="shared" si="0"/>
        <v>3</v>
      </c>
      <c r="I22" s="6">
        <f t="shared" si="1"/>
        <v>16525.886666666669</v>
      </c>
      <c r="L22" s="21">
        <v>51</v>
      </c>
      <c r="M22" s="6">
        <f t="shared" si="2"/>
        <v>8618.8306321839082</v>
      </c>
    </row>
    <row r="23" spans="1:23" ht="15" thickBot="1" x14ac:dyDescent="0.35">
      <c r="A23" s="2">
        <v>64</v>
      </c>
      <c r="B23" s="3" t="s">
        <v>14</v>
      </c>
      <c r="C23" s="2">
        <v>23.8</v>
      </c>
      <c r="D23" s="2">
        <v>0</v>
      </c>
      <c r="E23" s="3" t="s">
        <v>17</v>
      </c>
      <c r="F23" s="3" t="s">
        <v>10</v>
      </c>
      <c r="G23" s="4">
        <v>26926.51</v>
      </c>
      <c r="H23">
        <f t="shared" si="0"/>
        <v>1</v>
      </c>
      <c r="I23" s="6">
        <f t="shared" si="1"/>
        <v>26926.51</v>
      </c>
      <c r="L23" s="21">
        <v>50</v>
      </c>
      <c r="M23" s="6">
        <f t="shared" si="2"/>
        <v>8678.2486666666682</v>
      </c>
      <c r="Q23" s="3"/>
    </row>
    <row r="24" spans="1:23" ht="15" thickBot="1" x14ac:dyDescent="0.35">
      <c r="A24" s="2">
        <v>63</v>
      </c>
      <c r="B24" s="3" t="s">
        <v>15</v>
      </c>
      <c r="C24" s="2">
        <v>23.1</v>
      </c>
      <c r="D24" s="2">
        <v>0</v>
      </c>
      <c r="E24" s="3" t="s">
        <v>16</v>
      </c>
      <c r="F24" s="3" t="s">
        <v>9</v>
      </c>
      <c r="G24" s="4">
        <v>14451.84</v>
      </c>
      <c r="H24">
        <f t="shared" si="0"/>
        <v>1</v>
      </c>
      <c r="I24" s="6">
        <f t="shared" si="1"/>
        <v>14451.84</v>
      </c>
      <c r="L24" s="21">
        <v>49</v>
      </c>
      <c r="M24" s="6">
        <f t="shared" si="2"/>
        <v>6699.034029761905</v>
      </c>
      <c r="Q24" s="3"/>
    </row>
    <row r="25" spans="1:23" ht="15" thickBot="1" x14ac:dyDescent="0.35">
      <c r="A25" s="2">
        <v>63</v>
      </c>
      <c r="B25" s="3" t="s">
        <v>14</v>
      </c>
      <c r="C25" s="2">
        <v>28.3</v>
      </c>
      <c r="D25" s="2">
        <v>0</v>
      </c>
      <c r="E25" s="3" t="s">
        <v>16</v>
      </c>
      <c r="F25" s="3" t="s">
        <v>7</v>
      </c>
      <c r="G25" s="4">
        <v>13770.1</v>
      </c>
      <c r="H25">
        <f t="shared" si="0"/>
        <v>1</v>
      </c>
      <c r="I25" s="6">
        <f t="shared" si="1"/>
        <v>13770.1</v>
      </c>
      <c r="L25" s="21">
        <v>48</v>
      </c>
      <c r="M25" s="6">
        <f t="shared" si="2"/>
        <v>8602.9391379310364</v>
      </c>
      <c r="Q25" s="3"/>
    </row>
    <row r="26" spans="1:23" ht="15" thickBot="1" x14ac:dyDescent="0.35">
      <c r="A26" s="2">
        <v>63</v>
      </c>
      <c r="B26" s="3" t="s">
        <v>14</v>
      </c>
      <c r="C26" s="2">
        <v>35.1</v>
      </c>
      <c r="D26" s="2">
        <v>0</v>
      </c>
      <c r="E26" s="3" t="s">
        <v>17</v>
      </c>
      <c r="F26" s="3" t="s">
        <v>10</v>
      </c>
      <c r="G26" s="4">
        <v>47055.53</v>
      </c>
      <c r="H26">
        <f t="shared" si="0"/>
        <v>1</v>
      </c>
      <c r="I26" s="6">
        <f t="shared" si="1"/>
        <v>47055.53</v>
      </c>
      <c r="L26" s="21">
        <v>47</v>
      </c>
      <c r="M26" s="6">
        <f t="shared" si="2"/>
        <v>9235.6927183908047</v>
      </c>
      <c r="Q26" s="3"/>
    </row>
    <row r="27" spans="1:23" ht="15" thickBot="1" x14ac:dyDescent="0.35">
      <c r="A27" s="2">
        <v>63</v>
      </c>
      <c r="B27" s="3" t="s">
        <v>14</v>
      </c>
      <c r="C27" s="2">
        <v>41.5</v>
      </c>
      <c r="D27" s="2">
        <v>0</v>
      </c>
      <c r="E27" s="3" t="s">
        <v>16</v>
      </c>
      <c r="F27" s="3" t="s">
        <v>10</v>
      </c>
      <c r="G27" s="4">
        <v>13405.39</v>
      </c>
      <c r="H27">
        <f t="shared" si="0"/>
        <v>1</v>
      </c>
      <c r="I27" s="6">
        <f t="shared" si="1"/>
        <v>13405.39</v>
      </c>
      <c r="L27" s="21">
        <v>46</v>
      </c>
      <c r="M27" s="6">
        <f t="shared" si="2"/>
        <v>7166.9012356321837</v>
      </c>
      <c r="Q27" s="3"/>
    </row>
    <row r="28" spans="1:23" ht="15" thickBot="1" x14ac:dyDescent="0.35">
      <c r="A28" s="2">
        <v>63</v>
      </c>
      <c r="B28" s="3" t="s">
        <v>15</v>
      </c>
      <c r="C28" s="2">
        <v>37.700000000000003</v>
      </c>
      <c r="D28" s="2">
        <v>0</v>
      </c>
      <c r="E28" s="3" t="s">
        <v>17</v>
      </c>
      <c r="F28" s="3" t="s">
        <v>8</v>
      </c>
      <c r="G28" s="4">
        <v>48824.45</v>
      </c>
      <c r="H28">
        <f t="shared" si="0"/>
        <v>1</v>
      </c>
      <c r="I28" s="6">
        <f t="shared" si="1"/>
        <v>48824.45</v>
      </c>
      <c r="L28" s="21">
        <v>45</v>
      </c>
      <c r="M28" s="6">
        <f t="shared" si="2"/>
        <v>8952.8402586206903</v>
      </c>
    </row>
    <row r="29" spans="1:23" ht="15" thickBot="1" x14ac:dyDescent="0.35">
      <c r="A29" s="2">
        <v>63</v>
      </c>
      <c r="B29" s="3" t="s">
        <v>15</v>
      </c>
      <c r="C29" s="2">
        <v>31.8</v>
      </c>
      <c r="D29" s="2">
        <v>0</v>
      </c>
      <c r="E29" s="3" t="s">
        <v>16</v>
      </c>
      <c r="F29" s="3" t="s">
        <v>8</v>
      </c>
      <c r="G29" s="4">
        <v>13880.95</v>
      </c>
      <c r="H29">
        <f t="shared" si="0"/>
        <v>1</v>
      </c>
      <c r="I29" s="6">
        <f t="shared" si="1"/>
        <v>13880.95</v>
      </c>
      <c r="L29" s="21">
        <v>44</v>
      </c>
      <c r="M29" s="6">
        <f t="shared" si="2"/>
        <v>9119.0374074074061</v>
      </c>
      <c r="O29" s="2"/>
      <c r="P29" s="3"/>
      <c r="Q29" s="2"/>
      <c r="R29" s="2"/>
      <c r="S29" s="3"/>
      <c r="T29" s="3"/>
      <c r="U29" s="4"/>
      <c r="W29" s="6"/>
    </row>
    <row r="30" spans="1:23" ht="15" thickBot="1" x14ac:dyDescent="0.35">
      <c r="A30" s="2">
        <v>63</v>
      </c>
      <c r="B30" s="3" t="s">
        <v>15</v>
      </c>
      <c r="C30" s="2">
        <v>27.7</v>
      </c>
      <c r="D30" s="2">
        <v>0</v>
      </c>
      <c r="E30" s="3" t="s">
        <v>17</v>
      </c>
      <c r="F30" s="3" t="s">
        <v>9</v>
      </c>
      <c r="G30" s="4">
        <v>29523.17</v>
      </c>
      <c r="H30">
        <f t="shared" si="0"/>
        <v>1</v>
      </c>
      <c r="I30" s="6">
        <f t="shared" si="1"/>
        <v>29523.17</v>
      </c>
      <c r="L30" s="21">
        <v>43</v>
      </c>
      <c r="M30" s="6">
        <f t="shared" si="2"/>
        <v>9674.3116666666665</v>
      </c>
      <c r="O30" s="2"/>
      <c r="P30" s="3"/>
      <c r="Q30" s="2"/>
      <c r="R30" s="2"/>
      <c r="S30" s="3"/>
      <c r="T30" s="3"/>
      <c r="U30" s="4"/>
      <c r="W30" s="6"/>
    </row>
    <row r="31" spans="1:23" ht="15" thickBot="1" x14ac:dyDescent="0.35">
      <c r="A31" s="2">
        <v>63</v>
      </c>
      <c r="B31" s="3" t="s">
        <v>15</v>
      </c>
      <c r="C31" s="2">
        <v>32.200000000000003</v>
      </c>
      <c r="D31" s="2">
        <v>2</v>
      </c>
      <c r="E31" s="3" t="s">
        <v>17</v>
      </c>
      <c r="F31" s="3" t="s">
        <v>8</v>
      </c>
      <c r="G31" s="4">
        <v>47305.31</v>
      </c>
      <c r="H31">
        <f t="shared" si="0"/>
        <v>3</v>
      </c>
      <c r="I31" s="6">
        <f t="shared" si="1"/>
        <v>15768.436666666666</v>
      </c>
      <c r="L31" s="21">
        <v>42</v>
      </c>
      <c r="M31" s="6">
        <f t="shared" si="2"/>
        <v>7784.2855555555561</v>
      </c>
      <c r="O31" s="2"/>
      <c r="P31" s="3"/>
      <c r="Q31" s="2"/>
      <c r="R31" s="2"/>
      <c r="S31" s="3"/>
      <c r="T31" s="3"/>
      <c r="U31" s="4"/>
      <c r="W31" s="6"/>
    </row>
    <row r="32" spans="1:23" ht="15" thickBot="1" x14ac:dyDescent="0.35">
      <c r="A32" s="2">
        <v>63</v>
      </c>
      <c r="B32" s="3" t="s">
        <v>15</v>
      </c>
      <c r="C32" s="2">
        <v>26.2</v>
      </c>
      <c r="D32" s="2">
        <v>0</v>
      </c>
      <c r="E32" s="3" t="s">
        <v>16</v>
      </c>
      <c r="F32" s="3" t="s">
        <v>7</v>
      </c>
      <c r="G32" s="4">
        <v>14256.19</v>
      </c>
      <c r="H32">
        <f t="shared" si="0"/>
        <v>1</v>
      </c>
      <c r="I32" s="6">
        <f t="shared" si="1"/>
        <v>14256.19</v>
      </c>
      <c r="L32" s="21">
        <v>41</v>
      </c>
      <c r="M32" s="6">
        <f t="shared" si="2"/>
        <v>4485.4729629629628</v>
      </c>
      <c r="O32" s="2"/>
      <c r="P32" s="3"/>
      <c r="Q32" s="2"/>
      <c r="R32" s="2"/>
      <c r="S32" s="3"/>
      <c r="T32" s="3"/>
      <c r="U32" s="4"/>
      <c r="W32" s="6"/>
    </row>
    <row r="33" spans="1:23" ht="15" thickBot="1" x14ac:dyDescent="0.35">
      <c r="A33" s="2">
        <v>63</v>
      </c>
      <c r="B33" s="3" t="s">
        <v>14</v>
      </c>
      <c r="C33" s="2">
        <v>36.799999999999997</v>
      </c>
      <c r="D33" s="2">
        <v>0</v>
      </c>
      <c r="E33" s="3" t="s">
        <v>16</v>
      </c>
      <c r="F33" s="3" t="s">
        <v>9</v>
      </c>
      <c r="G33" s="4">
        <v>13981.85</v>
      </c>
      <c r="H33">
        <f t="shared" si="0"/>
        <v>1</v>
      </c>
      <c r="I33" s="6">
        <f t="shared" si="1"/>
        <v>13981.85</v>
      </c>
      <c r="L33" s="21">
        <v>40</v>
      </c>
      <c r="M33" s="6">
        <f t="shared" si="2"/>
        <v>5215.0319012345681</v>
      </c>
      <c r="O33" s="2"/>
      <c r="P33" s="3"/>
      <c r="Q33" s="2"/>
      <c r="R33" s="2"/>
      <c r="S33" s="3"/>
      <c r="T33" s="3"/>
      <c r="U33" s="4"/>
      <c r="W33" s="6"/>
    </row>
    <row r="34" spans="1:23" ht="15" thickBot="1" x14ac:dyDescent="0.35">
      <c r="A34" s="2">
        <v>63</v>
      </c>
      <c r="B34" s="3" t="s">
        <v>15</v>
      </c>
      <c r="C34" s="2">
        <v>27</v>
      </c>
      <c r="D34" s="2">
        <v>0</v>
      </c>
      <c r="E34" s="3" t="s">
        <v>17</v>
      </c>
      <c r="F34" s="3" t="s">
        <v>7</v>
      </c>
      <c r="G34" s="4">
        <v>28950.47</v>
      </c>
      <c r="H34">
        <f t="shared" si="0"/>
        <v>1</v>
      </c>
      <c r="I34" s="6">
        <f t="shared" si="1"/>
        <v>28950.47</v>
      </c>
      <c r="L34" s="21">
        <v>39</v>
      </c>
      <c r="M34" s="6">
        <f t="shared" si="2"/>
        <v>4840.7138599999998</v>
      </c>
      <c r="O34" s="2"/>
      <c r="P34" s="3"/>
      <c r="Q34" s="2"/>
      <c r="R34" s="2"/>
      <c r="S34" s="3"/>
      <c r="T34" s="3"/>
      <c r="U34" s="4"/>
      <c r="W34" s="6"/>
    </row>
    <row r="35" spans="1:23" ht="15" thickBot="1" x14ac:dyDescent="0.35">
      <c r="A35" s="2">
        <v>63</v>
      </c>
      <c r="B35" s="3" t="s">
        <v>14</v>
      </c>
      <c r="C35" s="2">
        <v>41.3</v>
      </c>
      <c r="D35" s="2">
        <v>3</v>
      </c>
      <c r="E35" s="3" t="s">
        <v>16</v>
      </c>
      <c r="F35" s="3" t="s">
        <v>7</v>
      </c>
      <c r="G35" s="4">
        <v>15555.19</v>
      </c>
      <c r="H35">
        <f t="shared" si="0"/>
        <v>4</v>
      </c>
      <c r="I35" s="6">
        <f t="shared" si="1"/>
        <v>3888.7975000000001</v>
      </c>
      <c r="L35" s="21">
        <v>38</v>
      </c>
      <c r="M35" s="6">
        <f t="shared" si="2"/>
        <v>3702.3883999999998</v>
      </c>
      <c r="O35" s="2"/>
      <c r="P35" s="3"/>
      <c r="Q35" s="2"/>
      <c r="R35" s="2"/>
      <c r="S35" s="3"/>
      <c r="T35" s="3"/>
      <c r="U35" s="4"/>
      <c r="W35" s="6"/>
    </row>
    <row r="36" spans="1:23" ht="15" thickBot="1" x14ac:dyDescent="0.35">
      <c r="A36" s="2">
        <v>63</v>
      </c>
      <c r="B36" s="3" t="s">
        <v>15</v>
      </c>
      <c r="C36" s="2">
        <v>36.299999999999997</v>
      </c>
      <c r="D36" s="2">
        <v>0</v>
      </c>
      <c r="E36" s="3" t="s">
        <v>16</v>
      </c>
      <c r="F36" s="3" t="s">
        <v>10</v>
      </c>
      <c r="G36" s="4">
        <v>13887.2</v>
      </c>
      <c r="H36">
        <f t="shared" si="0"/>
        <v>1</v>
      </c>
      <c r="I36" s="6">
        <f t="shared" si="1"/>
        <v>13887.2</v>
      </c>
      <c r="L36" s="21">
        <v>37</v>
      </c>
      <c r="M36" s="6">
        <f t="shared" si="2"/>
        <v>10310.551666666666</v>
      </c>
      <c r="O36" s="2"/>
      <c r="P36" s="3"/>
      <c r="Q36" s="2"/>
      <c r="R36" s="2"/>
      <c r="S36" s="3"/>
      <c r="T36" s="3"/>
      <c r="U36" s="4"/>
      <c r="W36" s="6"/>
    </row>
    <row r="37" spans="1:23" ht="15" thickBot="1" x14ac:dyDescent="0.35">
      <c r="A37" s="2">
        <v>63</v>
      </c>
      <c r="B37" s="3" t="s">
        <v>14</v>
      </c>
      <c r="C37" s="2">
        <v>30.8</v>
      </c>
      <c r="D37" s="2">
        <v>0</v>
      </c>
      <c r="E37" s="3" t="s">
        <v>16</v>
      </c>
      <c r="F37" s="3" t="s">
        <v>8</v>
      </c>
      <c r="G37" s="4">
        <v>13390.56</v>
      </c>
      <c r="H37">
        <f t="shared" si="0"/>
        <v>1</v>
      </c>
      <c r="I37" s="6">
        <f t="shared" si="1"/>
        <v>13390.56</v>
      </c>
      <c r="L37" s="21">
        <v>36</v>
      </c>
      <c r="M37" s="6">
        <f t="shared" si="2"/>
        <v>6548.692846666665</v>
      </c>
      <c r="O37" s="2"/>
      <c r="P37" s="3"/>
      <c r="Q37" s="2"/>
      <c r="R37" s="2"/>
      <c r="S37" s="3"/>
      <c r="T37" s="3"/>
      <c r="U37" s="4"/>
      <c r="W37" s="6"/>
    </row>
    <row r="38" spans="1:23" ht="15" thickBot="1" x14ac:dyDescent="0.35">
      <c r="A38" s="2">
        <v>63</v>
      </c>
      <c r="B38" s="3" t="s">
        <v>14</v>
      </c>
      <c r="C38" s="2">
        <v>33.1</v>
      </c>
      <c r="D38" s="2">
        <v>0</v>
      </c>
      <c r="E38" s="3" t="s">
        <v>16</v>
      </c>
      <c r="F38" s="3" t="s">
        <v>8</v>
      </c>
      <c r="G38" s="4">
        <v>13393.76</v>
      </c>
      <c r="H38">
        <f t="shared" si="0"/>
        <v>1</v>
      </c>
      <c r="I38" s="6">
        <f t="shared" si="1"/>
        <v>13393.76</v>
      </c>
      <c r="L38" s="21">
        <v>35</v>
      </c>
      <c r="M38" s="6">
        <f t="shared" si="2"/>
        <v>4687.9201599999997</v>
      </c>
      <c r="O38" s="2"/>
      <c r="P38" s="3"/>
      <c r="Q38" s="2"/>
      <c r="R38" s="2"/>
      <c r="S38" s="3"/>
      <c r="T38" s="3"/>
      <c r="U38" s="4"/>
      <c r="W38" s="6"/>
    </row>
    <row r="39" spans="1:23" ht="15" thickBot="1" x14ac:dyDescent="0.35">
      <c r="A39" s="2">
        <v>63</v>
      </c>
      <c r="B39" s="3" t="s">
        <v>14</v>
      </c>
      <c r="C39" s="2">
        <v>39.799999999999997</v>
      </c>
      <c r="D39" s="2">
        <v>3</v>
      </c>
      <c r="E39" s="3" t="s">
        <v>16</v>
      </c>
      <c r="F39" s="3" t="s">
        <v>8</v>
      </c>
      <c r="G39" s="4">
        <v>15170.07</v>
      </c>
      <c r="H39">
        <f t="shared" si="0"/>
        <v>4</v>
      </c>
      <c r="I39" s="6">
        <f t="shared" si="1"/>
        <v>3792.5174999999999</v>
      </c>
      <c r="L39" s="21">
        <v>34</v>
      </c>
      <c r="M39" s="6">
        <f t="shared" si="2"/>
        <v>6374.8486858974347</v>
      </c>
      <c r="O39" s="2"/>
      <c r="P39" s="3"/>
      <c r="Q39" s="2"/>
      <c r="R39" s="2"/>
      <c r="S39" s="3"/>
      <c r="T39" s="3"/>
      <c r="U39" s="4"/>
      <c r="W39" s="6"/>
    </row>
    <row r="40" spans="1:23" ht="15" thickBot="1" x14ac:dyDescent="0.35">
      <c r="A40" s="2">
        <v>63</v>
      </c>
      <c r="B40" s="3" t="s">
        <v>15</v>
      </c>
      <c r="C40" s="2">
        <v>35.200000000000003</v>
      </c>
      <c r="D40" s="2">
        <v>1</v>
      </c>
      <c r="E40" s="3" t="s">
        <v>16</v>
      </c>
      <c r="F40" s="3" t="s">
        <v>10</v>
      </c>
      <c r="G40" s="4">
        <v>14474.68</v>
      </c>
      <c r="H40">
        <f t="shared" si="0"/>
        <v>2</v>
      </c>
      <c r="I40" s="6">
        <f t="shared" si="1"/>
        <v>7237.34</v>
      </c>
      <c r="L40" s="21">
        <v>33</v>
      </c>
      <c r="M40" s="6">
        <f t="shared" si="2"/>
        <v>8531.3684871794867</v>
      </c>
      <c r="O40" s="2"/>
      <c r="P40" s="3"/>
      <c r="Q40" s="2"/>
      <c r="R40" s="2"/>
      <c r="S40" s="3"/>
      <c r="T40" s="3"/>
      <c r="U40" s="4"/>
      <c r="W40" s="6"/>
    </row>
    <row r="41" spans="1:23" ht="15" thickBot="1" x14ac:dyDescent="0.35">
      <c r="A41" s="2">
        <v>63</v>
      </c>
      <c r="B41" s="3" t="s">
        <v>15</v>
      </c>
      <c r="C41" s="2">
        <v>36.9</v>
      </c>
      <c r="D41" s="2">
        <v>0</v>
      </c>
      <c r="E41" s="3" t="s">
        <v>16</v>
      </c>
      <c r="F41" s="3" t="s">
        <v>10</v>
      </c>
      <c r="G41" s="4">
        <v>13887.97</v>
      </c>
      <c r="H41">
        <f t="shared" si="0"/>
        <v>1</v>
      </c>
      <c r="I41" s="6">
        <f t="shared" si="1"/>
        <v>13887.97</v>
      </c>
      <c r="L41" s="21">
        <v>32</v>
      </c>
      <c r="M41" s="6">
        <f t="shared" si="2"/>
        <v>4671.1879230769227</v>
      </c>
      <c r="O41" s="2"/>
      <c r="P41" s="3"/>
      <c r="Q41" s="2"/>
      <c r="R41" s="2"/>
      <c r="S41" s="3"/>
      <c r="T41" s="3"/>
      <c r="U41" s="4"/>
      <c r="W41" s="6"/>
    </row>
    <row r="42" spans="1:23" ht="15" thickBot="1" x14ac:dyDescent="0.35">
      <c r="A42" s="2">
        <v>63</v>
      </c>
      <c r="B42" s="3" t="s">
        <v>14</v>
      </c>
      <c r="C42" s="2">
        <v>21.7</v>
      </c>
      <c r="D42" s="2">
        <v>1</v>
      </c>
      <c r="E42" s="3" t="s">
        <v>16</v>
      </c>
      <c r="F42" s="3" t="s">
        <v>7</v>
      </c>
      <c r="G42" s="4">
        <v>14349.85</v>
      </c>
      <c r="H42">
        <f t="shared" si="0"/>
        <v>2</v>
      </c>
      <c r="I42" s="6">
        <f t="shared" si="1"/>
        <v>7174.9250000000002</v>
      </c>
      <c r="L42" s="21">
        <v>31</v>
      </c>
      <c r="M42" s="6">
        <f t="shared" si="2"/>
        <v>4805.2850308641982</v>
      </c>
      <c r="O42" s="2"/>
      <c r="P42" s="3"/>
      <c r="Q42" s="2"/>
      <c r="R42" s="2"/>
      <c r="S42" s="3"/>
      <c r="T42" s="3"/>
      <c r="U42" s="4"/>
      <c r="W42" s="6"/>
    </row>
    <row r="43" spans="1:23" ht="15" thickBot="1" x14ac:dyDescent="0.35">
      <c r="A43" s="2">
        <v>63</v>
      </c>
      <c r="B43" s="3" t="s">
        <v>14</v>
      </c>
      <c r="C43" s="2">
        <v>31.4</v>
      </c>
      <c r="D43" s="2">
        <v>0</v>
      </c>
      <c r="E43" s="3" t="s">
        <v>16</v>
      </c>
      <c r="F43" s="3" t="s">
        <v>9</v>
      </c>
      <c r="G43" s="4">
        <v>13974.46</v>
      </c>
      <c r="H43">
        <f t="shared" si="0"/>
        <v>1</v>
      </c>
      <c r="I43" s="6">
        <f t="shared" si="1"/>
        <v>13974.46</v>
      </c>
      <c r="L43" s="21">
        <v>30</v>
      </c>
      <c r="M43" s="6">
        <f t="shared" si="2"/>
        <v>6419.8471296296293</v>
      </c>
      <c r="O43" s="2"/>
      <c r="P43" s="3"/>
      <c r="Q43" s="2"/>
      <c r="R43" s="2"/>
      <c r="S43" s="3"/>
      <c r="T43" s="3"/>
      <c r="U43" s="4"/>
      <c r="W43" s="6"/>
    </row>
    <row r="44" spans="1:23" ht="15" thickBot="1" x14ac:dyDescent="0.35">
      <c r="A44" s="2">
        <v>63</v>
      </c>
      <c r="B44" s="3" t="s">
        <v>14</v>
      </c>
      <c r="C44" s="2">
        <v>33.700000000000003</v>
      </c>
      <c r="D44" s="2">
        <v>3</v>
      </c>
      <c r="E44" s="3" t="s">
        <v>16</v>
      </c>
      <c r="F44" s="3" t="s">
        <v>10</v>
      </c>
      <c r="G44" s="4">
        <v>15161.53</v>
      </c>
      <c r="H44">
        <f t="shared" si="0"/>
        <v>4</v>
      </c>
      <c r="I44" s="6">
        <f t="shared" si="1"/>
        <v>3790.3825000000002</v>
      </c>
      <c r="L44" s="21">
        <v>29</v>
      </c>
      <c r="M44" s="6">
        <f t="shared" si="2"/>
        <v>6020.556876543209</v>
      </c>
      <c r="O44" s="2"/>
      <c r="P44" s="3"/>
      <c r="Q44" s="2"/>
      <c r="R44" s="2"/>
      <c r="S44" s="3"/>
      <c r="T44" s="3"/>
      <c r="U44" s="4"/>
      <c r="W44" s="6"/>
    </row>
    <row r="45" spans="1:23" ht="15" thickBot="1" x14ac:dyDescent="0.35">
      <c r="A45" s="2">
        <v>63</v>
      </c>
      <c r="B45" s="3" t="s">
        <v>15</v>
      </c>
      <c r="C45" s="2">
        <v>25.1</v>
      </c>
      <c r="D45" s="2">
        <v>0</v>
      </c>
      <c r="E45" s="3" t="s">
        <v>16</v>
      </c>
      <c r="F45" s="3" t="s">
        <v>7</v>
      </c>
      <c r="G45" s="4">
        <v>14254.61</v>
      </c>
      <c r="H45">
        <f t="shared" si="0"/>
        <v>1</v>
      </c>
      <c r="I45" s="6">
        <f t="shared" si="1"/>
        <v>14254.61</v>
      </c>
      <c r="L45" s="21">
        <v>28</v>
      </c>
      <c r="M45" s="6">
        <f t="shared" si="2"/>
        <v>5352.3188988095226</v>
      </c>
      <c r="O45" s="2"/>
      <c r="P45" s="3"/>
      <c r="Q45" s="2"/>
      <c r="R45" s="2"/>
      <c r="S45" s="3"/>
      <c r="T45" s="3"/>
      <c r="U45" s="4"/>
      <c r="W45" s="6"/>
    </row>
    <row r="46" spans="1:23" ht="15" thickBot="1" x14ac:dyDescent="0.35">
      <c r="A46" s="2">
        <v>63</v>
      </c>
      <c r="B46" s="3" t="s">
        <v>15</v>
      </c>
      <c r="C46" s="2">
        <v>21.7</v>
      </c>
      <c r="D46" s="2">
        <v>0</v>
      </c>
      <c r="E46" s="3" t="s">
        <v>16</v>
      </c>
      <c r="F46" s="3" t="s">
        <v>9</v>
      </c>
      <c r="G46" s="4">
        <v>14449.85</v>
      </c>
      <c r="H46">
        <f t="shared" si="0"/>
        <v>1</v>
      </c>
      <c r="I46" s="6">
        <f t="shared" si="1"/>
        <v>14449.85</v>
      </c>
      <c r="L46" s="21">
        <v>27</v>
      </c>
      <c r="M46" s="6">
        <f t="shared" si="2"/>
        <v>8868.8355357142846</v>
      </c>
      <c r="O46" s="2"/>
      <c r="P46" s="3"/>
      <c r="Q46" s="2"/>
      <c r="R46" s="2"/>
      <c r="S46" s="3"/>
      <c r="T46" s="3"/>
      <c r="U46" s="4"/>
      <c r="W46" s="6"/>
    </row>
    <row r="47" spans="1:23" ht="15" thickBot="1" x14ac:dyDescent="0.35">
      <c r="A47" s="2">
        <v>62</v>
      </c>
      <c r="B47" s="3" t="s">
        <v>15</v>
      </c>
      <c r="C47" s="2">
        <v>26.3</v>
      </c>
      <c r="D47" s="2">
        <v>0</v>
      </c>
      <c r="E47" s="3" t="s">
        <v>17</v>
      </c>
      <c r="F47" s="3" t="s">
        <v>10</v>
      </c>
      <c r="G47" s="4">
        <v>27808.73</v>
      </c>
      <c r="H47">
        <f t="shared" si="0"/>
        <v>1</v>
      </c>
      <c r="I47" s="6">
        <f t="shared" si="1"/>
        <v>27808.73</v>
      </c>
      <c r="L47" s="21">
        <v>26</v>
      </c>
      <c r="M47" s="6">
        <f t="shared" si="2"/>
        <v>3107.5084940476195</v>
      </c>
      <c r="O47" s="2"/>
      <c r="P47" s="3"/>
      <c r="Q47" s="2"/>
      <c r="R47" s="2"/>
      <c r="S47" s="3"/>
      <c r="T47" s="3"/>
      <c r="U47" s="4"/>
      <c r="W47" s="6"/>
    </row>
    <row r="48" spans="1:23" ht="15" thickBot="1" x14ac:dyDescent="0.35">
      <c r="A48" s="2">
        <v>62</v>
      </c>
      <c r="B48" s="3" t="s">
        <v>15</v>
      </c>
      <c r="C48" s="2">
        <v>33</v>
      </c>
      <c r="D48" s="2">
        <v>3</v>
      </c>
      <c r="E48" s="3" t="s">
        <v>16</v>
      </c>
      <c r="F48" s="3" t="s">
        <v>7</v>
      </c>
      <c r="G48" s="4">
        <v>15612.19</v>
      </c>
      <c r="H48">
        <f t="shared" si="0"/>
        <v>4</v>
      </c>
      <c r="I48" s="6">
        <f t="shared" si="1"/>
        <v>3903.0475000000001</v>
      </c>
      <c r="L48" s="21">
        <v>25</v>
      </c>
      <c r="M48" s="6">
        <f t="shared" si="2"/>
        <v>5525.6464166666674</v>
      </c>
      <c r="O48" s="2"/>
      <c r="P48" s="3"/>
      <c r="Q48" s="2"/>
      <c r="R48" s="2"/>
      <c r="S48" s="3"/>
      <c r="T48" s="3"/>
      <c r="U48" s="4"/>
      <c r="W48" s="6"/>
    </row>
    <row r="49" spans="1:23" ht="15" thickBot="1" x14ac:dyDescent="0.35">
      <c r="A49" s="2">
        <v>62</v>
      </c>
      <c r="B49" s="3" t="s">
        <v>14</v>
      </c>
      <c r="C49" s="2">
        <v>27.6</v>
      </c>
      <c r="D49" s="2">
        <v>1</v>
      </c>
      <c r="E49" s="3" t="s">
        <v>16</v>
      </c>
      <c r="F49" s="3" t="s">
        <v>7</v>
      </c>
      <c r="G49" s="4">
        <v>13937.67</v>
      </c>
      <c r="H49">
        <f t="shared" si="0"/>
        <v>2</v>
      </c>
      <c r="I49" s="6">
        <f t="shared" si="1"/>
        <v>6968.835</v>
      </c>
      <c r="L49" s="21">
        <v>24</v>
      </c>
      <c r="M49" s="6">
        <f t="shared" si="2"/>
        <v>9612.0902440476202</v>
      </c>
      <c r="O49" s="2"/>
      <c r="P49" s="3"/>
      <c r="Q49" s="2"/>
      <c r="R49" s="2"/>
      <c r="S49" s="3"/>
      <c r="T49" s="3"/>
      <c r="U49" s="4"/>
      <c r="W49" s="6"/>
    </row>
    <row r="50" spans="1:23" ht="15" thickBot="1" x14ac:dyDescent="0.35">
      <c r="A50" s="2">
        <v>62</v>
      </c>
      <c r="B50" s="3" t="s">
        <v>14</v>
      </c>
      <c r="C50" s="2">
        <v>30</v>
      </c>
      <c r="D50" s="2">
        <v>0</v>
      </c>
      <c r="E50" s="3" t="s">
        <v>16</v>
      </c>
      <c r="F50" s="3" t="s">
        <v>7</v>
      </c>
      <c r="G50" s="4">
        <v>13352.1</v>
      </c>
      <c r="H50">
        <f t="shared" si="0"/>
        <v>1</v>
      </c>
      <c r="I50" s="6">
        <f t="shared" si="1"/>
        <v>13352.1</v>
      </c>
      <c r="L50" s="21">
        <v>23</v>
      </c>
      <c r="M50" s="6">
        <f t="shared" si="2"/>
        <v>7159.8383928571429</v>
      </c>
      <c r="O50" s="2"/>
      <c r="P50" s="3"/>
      <c r="Q50" s="2"/>
      <c r="R50" s="2"/>
      <c r="S50" s="3"/>
      <c r="T50" s="3"/>
      <c r="U50" s="4"/>
      <c r="W50" s="6"/>
    </row>
    <row r="51" spans="1:23" ht="15" thickBot="1" x14ac:dyDescent="0.35">
      <c r="A51" s="2">
        <v>62</v>
      </c>
      <c r="B51" s="3" t="s">
        <v>14</v>
      </c>
      <c r="C51" s="2">
        <v>31.5</v>
      </c>
      <c r="D51" s="2">
        <v>1</v>
      </c>
      <c r="E51" s="3" t="s">
        <v>16</v>
      </c>
      <c r="F51" s="3" t="s">
        <v>10</v>
      </c>
      <c r="G51" s="4">
        <v>27000.98</v>
      </c>
      <c r="H51">
        <f t="shared" si="0"/>
        <v>2</v>
      </c>
      <c r="I51" s="6">
        <f t="shared" si="1"/>
        <v>13500.49</v>
      </c>
      <c r="L51" s="21">
        <v>22</v>
      </c>
      <c r="M51" s="6">
        <f t="shared" si="2"/>
        <v>6206.2722619047627</v>
      </c>
      <c r="O51" s="2"/>
      <c r="P51" s="3"/>
      <c r="Q51" s="2"/>
      <c r="R51" s="2"/>
      <c r="S51" s="3"/>
      <c r="T51" s="3"/>
      <c r="U51" s="4"/>
      <c r="W51" s="6"/>
    </row>
    <row r="52" spans="1:23" ht="15" thickBot="1" x14ac:dyDescent="0.35">
      <c r="A52" s="2">
        <v>62</v>
      </c>
      <c r="B52" s="3" t="s">
        <v>15</v>
      </c>
      <c r="C52" s="2">
        <v>38.1</v>
      </c>
      <c r="D52" s="2">
        <v>2</v>
      </c>
      <c r="E52" s="3" t="s">
        <v>16</v>
      </c>
      <c r="F52" s="3" t="s">
        <v>9</v>
      </c>
      <c r="G52" s="4">
        <v>15230.32</v>
      </c>
      <c r="H52">
        <f t="shared" si="0"/>
        <v>3</v>
      </c>
      <c r="I52" s="6">
        <f t="shared" si="1"/>
        <v>5076.7733333333335</v>
      </c>
      <c r="L52" s="21">
        <v>21</v>
      </c>
      <c r="M52" s="6">
        <f t="shared" si="2"/>
        <v>2721.6506964285704</v>
      </c>
      <c r="O52" s="2"/>
      <c r="P52" s="3"/>
      <c r="Q52" s="2"/>
      <c r="R52" s="2"/>
      <c r="S52" s="3"/>
      <c r="T52" s="3"/>
      <c r="U52" s="4"/>
      <c r="W52" s="6"/>
    </row>
    <row r="53" spans="1:23" ht="15" thickBot="1" x14ac:dyDescent="0.35">
      <c r="A53" s="2">
        <v>62</v>
      </c>
      <c r="B53" s="3" t="s">
        <v>15</v>
      </c>
      <c r="C53" s="2">
        <v>39.200000000000003</v>
      </c>
      <c r="D53" s="2">
        <v>0</v>
      </c>
      <c r="E53" s="3" t="s">
        <v>16</v>
      </c>
      <c r="F53" s="3" t="s">
        <v>8</v>
      </c>
      <c r="G53" s="4">
        <v>13470.86</v>
      </c>
      <c r="H53">
        <f t="shared" si="0"/>
        <v>1</v>
      </c>
      <c r="I53" s="6">
        <f t="shared" si="1"/>
        <v>13470.86</v>
      </c>
      <c r="L53" s="21">
        <v>20</v>
      </c>
      <c r="M53" s="6">
        <f t="shared" si="2"/>
        <v>6715.8860919540239</v>
      </c>
      <c r="O53" s="2"/>
      <c r="P53" s="3"/>
      <c r="Q53" s="2"/>
      <c r="R53" s="2"/>
      <c r="S53" s="3"/>
      <c r="T53" s="3"/>
      <c r="U53" s="4"/>
      <c r="W53" s="6"/>
    </row>
    <row r="54" spans="1:23" ht="15" thickBot="1" x14ac:dyDescent="0.35">
      <c r="A54" s="2">
        <v>62</v>
      </c>
      <c r="B54" s="3" t="s">
        <v>15</v>
      </c>
      <c r="C54" s="2">
        <v>31.7</v>
      </c>
      <c r="D54" s="2">
        <v>0</v>
      </c>
      <c r="E54" s="3" t="s">
        <v>16</v>
      </c>
      <c r="F54" s="3" t="s">
        <v>9</v>
      </c>
      <c r="G54" s="4">
        <v>14043.48</v>
      </c>
      <c r="H54">
        <f t="shared" si="0"/>
        <v>1</v>
      </c>
      <c r="I54" s="6">
        <f t="shared" si="1"/>
        <v>14043.48</v>
      </c>
      <c r="L54" s="21">
        <v>19</v>
      </c>
      <c r="M54" s="6">
        <f t="shared" si="2"/>
        <v>8318.573725490196</v>
      </c>
      <c r="O54" s="2"/>
      <c r="P54" s="3"/>
      <c r="Q54" s="2"/>
      <c r="R54" s="2"/>
      <c r="S54" s="3"/>
      <c r="T54" s="3"/>
      <c r="U54" s="4"/>
      <c r="W54" s="6"/>
    </row>
    <row r="55" spans="1:23" ht="15" thickBot="1" x14ac:dyDescent="0.35">
      <c r="A55" s="2">
        <v>62</v>
      </c>
      <c r="B55" s="3" t="s">
        <v>14</v>
      </c>
      <c r="C55" s="2">
        <v>21.4</v>
      </c>
      <c r="D55" s="2">
        <v>0</v>
      </c>
      <c r="E55" s="3" t="s">
        <v>16</v>
      </c>
      <c r="F55" s="3" t="s">
        <v>8</v>
      </c>
      <c r="G55" s="4">
        <v>12957.12</v>
      </c>
      <c r="H55">
        <f t="shared" si="0"/>
        <v>1</v>
      </c>
      <c r="I55" s="6">
        <f t="shared" si="1"/>
        <v>12957.12</v>
      </c>
      <c r="L55" s="21">
        <v>18</v>
      </c>
      <c r="M55" s="6">
        <f t="shared" si="2"/>
        <v>5844.5385942029006</v>
      </c>
      <c r="O55" s="2"/>
      <c r="P55" s="3"/>
      <c r="Q55" s="2"/>
      <c r="R55" s="2"/>
      <c r="S55" s="3"/>
      <c r="T55" s="3"/>
      <c r="U55" s="4"/>
      <c r="W55" s="6"/>
    </row>
    <row r="56" spans="1:23" ht="15" thickBot="1" x14ac:dyDescent="0.35">
      <c r="A56" s="2">
        <v>62</v>
      </c>
      <c r="B56" s="3" t="s">
        <v>15</v>
      </c>
      <c r="C56" s="2">
        <v>36.9</v>
      </c>
      <c r="D56" s="2">
        <v>1</v>
      </c>
      <c r="E56" s="3" t="s">
        <v>16</v>
      </c>
      <c r="F56" s="3" t="s">
        <v>9</v>
      </c>
      <c r="G56" s="4">
        <v>31620</v>
      </c>
      <c r="H56">
        <f t="shared" si="0"/>
        <v>2</v>
      </c>
      <c r="I56" s="6">
        <f t="shared" si="1"/>
        <v>15810</v>
      </c>
      <c r="L56" s="20"/>
      <c r="M56" s="6"/>
      <c r="O56" s="2"/>
      <c r="P56" s="3"/>
      <c r="Q56" s="2"/>
      <c r="R56" s="2"/>
      <c r="S56" s="3"/>
      <c r="T56" s="3"/>
      <c r="U56" s="4"/>
      <c r="W56" s="6"/>
    </row>
    <row r="57" spans="1:23" ht="15" thickBot="1" x14ac:dyDescent="0.35">
      <c r="A57" s="2">
        <v>62</v>
      </c>
      <c r="B57" s="3" t="s">
        <v>14</v>
      </c>
      <c r="C57" s="2">
        <v>32</v>
      </c>
      <c r="D57" s="2">
        <v>0</v>
      </c>
      <c r="E57" s="3" t="s">
        <v>17</v>
      </c>
      <c r="F57" s="3" t="s">
        <v>9</v>
      </c>
      <c r="G57" s="4">
        <v>45710.21</v>
      </c>
      <c r="H57">
        <f t="shared" si="0"/>
        <v>1</v>
      </c>
      <c r="I57" s="6">
        <f t="shared" si="1"/>
        <v>45710.21</v>
      </c>
      <c r="L57" s="20"/>
      <c r="M57" s="6"/>
      <c r="O57" s="2"/>
      <c r="P57" s="3"/>
      <c r="Q57" s="2"/>
      <c r="R57" s="2"/>
      <c r="S57" s="3"/>
      <c r="T57" s="3"/>
      <c r="U57" s="4"/>
      <c r="W57" s="6"/>
    </row>
    <row r="58" spans="1:23" ht="15" thickBot="1" x14ac:dyDescent="0.35">
      <c r="A58" s="2">
        <v>62</v>
      </c>
      <c r="B58" s="3" t="s">
        <v>14</v>
      </c>
      <c r="C58" s="2">
        <v>37.4</v>
      </c>
      <c r="D58" s="2">
        <v>0</v>
      </c>
      <c r="E58" s="3" t="s">
        <v>16</v>
      </c>
      <c r="F58" s="3" t="s">
        <v>8</v>
      </c>
      <c r="G58" s="4">
        <v>12979.36</v>
      </c>
      <c r="H58">
        <f t="shared" si="0"/>
        <v>1</v>
      </c>
      <c r="I58" s="6">
        <f t="shared" si="1"/>
        <v>12979.36</v>
      </c>
      <c r="O58" s="2"/>
      <c r="P58" s="3"/>
      <c r="Q58" s="2"/>
      <c r="R58" s="2"/>
      <c r="S58" s="3"/>
      <c r="T58" s="3"/>
      <c r="U58" s="4"/>
      <c r="W58" s="6"/>
    </row>
    <row r="59" spans="1:23" ht="15" thickBot="1" x14ac:dyDescent="0.35">
      <c r="A59" s="2">
        <v>62</v>
      </c>
      <c r="B59" s="3" t="s">
        <v>15</v>
      </c>
      <c r="C59" s="2">
        <v>29.9</v>
      </c>
      <c r="D59" s="2">
        <v>0</v>
      </c>
      <c r="E59" s="3" t="s">
        <v>16</v>
      </c>
      <c r="F59" s="3" t="s">
        <v>10</v>
      </c>
      <c r="G59" s="4">
        <v>13457.96</v>
      </c>
      <c r="H59">
        <f t="shared" si="0"/>
        <v>1</v>
      </c>
      <c r="I59" s="6">
        <f t="shared" si="1"/>
        <v>13457.96</v>
      </c>
      <c r="L59" s="19"/>
      <c r="O59" s="2"/>
      <c r="P59" s="3"/>
      <c r="Q59" s="2"/>
      <c r="R59" s="2"/>
      <c r="S59" s="3"/>
      <c r="T59" s="3"/>
      <c r="U59" s="4"/>
      <c r="W59" s="6"/>
    </row>
    <row r="60" spans="1:23" ht="15" thickBot="1" x14ac:dyDescent="0.35">
      <c r="A60" s="2">
        <v>62</v>
      </c>
      <c r="B60" s="3" t="s">
        <v>14</v>
      </c>
      <c r="C60" s="2">
        <v>32.1</v>
      </c>
      <c r="D60" s="2">
        <v>0</v>
      </c>
      <c r="E60" s="3" t="s">
        <v>16</v>
      </c>
      <c r="F60" s="3" t="s">
        <v>9</v>
      </c>
      <c r="G60" s="4">
        <v>13555</v>
      </c>
      <c r="H60">
        <f t="shared" si="0"/>
        <v>1</v>
      </c>
      <c r="I60" s="6">
        <f t="shared" si="1"/>
        <v>13555</v>
      </c>
      <c r="L60" s="19"/>
      <c r="O60" s="2"/>
      <c r="P60" s="3"/>
      <c r="Q60" s="2"/>
      <c r="R60" s="2"/>
      <c r="S60" s="3"/>
      <c r="T60" s="3"/>
      <c r="U60" s="4"/>
      <c r="W60" s="6"/>
    </row>
    <row r="61" spans="1:23" ht="15" thickBot="1" x14ac:dyDescent="0.35">
      <c r="A61" s="2">
        <v>62</v>
      </c>
      <c r="B61" s="3" t="s">
        <v>15</v>
      </c>
      <c r="C61" s="2">
        <v>25</v>
      </c>
      <c r="D61" s="2">
        <v>0</v>
      </c>
      <c r="E61" s="3" t="s">
        <v>16</v>
      </c>
      <c r="F61" s="3" t="s">
        <v>8</v>
      </c>
      <c r="G61" s="4">
        <v>13451.12</v>
      </c>
      <c r="H61">
        <f t="shared" si="0"/>
        <v>1</v>
      </c>
      <c r="I61" s="6">
        <f t="shared" si="1"/>
        <v>13451.12</v>
      </c>
      <c r="L61" s="19"/>
      <c r="O61" s="2"/>
      <c r="P61" s="3"/>
      <c r="Q61" s="2"/>
      <c r="R61" s="2"/>
      <c r="S61" s="3"/>
      <c r="T61" s="3"/>
      <c r="U61" s="4"/>
      <c r="W61" s="6"/>
    </row>
    <row r="62" spans="1:23" ht="15" thickBot="1" x14ac:dyDescent="0.35">
      <c r="A62" s="2">
        <v>62</v>
      </c>
      <c r="B62" s="3" t="s">
        <v>15</v>
      </c>
      <c r="C62" s="2">
        <v>33.200000000000003</v>
      </c>
      <c r="D62" s="2">
        <v>0</v>
      </c>
      <c r="E62" s="3" t="s">
        <v>16</v>
      </c>
      <c r="F62" s="3" t="s">
        <v>8</v>
      </c>
      <c r="G62" s="4">
        <v>13462.52</v>
      </c>
      <c r="H62">
        <f t="shared" si="0"/>
        <v>1</v>
      </c>
      <c r="I62" s="6">
        <f t="shared" si="1"/>
        <v>13462.52</v>
      </c>
      <c r="L62" s="19"/>
      <c r="O62" s="2"/>
      <c r="P62" s="3"/>
      <c r="Q62" s="2"/>
      <c r="R62" s="2"/>
      <c r="S62" s="3"/>
      <c r="T62" s="3"/>
      <c r="U62" s="4"/>
      <c r="W62" s="6"/>
    </row>
    <row r="63" spans="1:23" ht="15" thickBot="1" x14ac:dyDescent="0.35">
      <c r="A63" s="2">
        <v>62</v>
      </c>
      <c r="B63" s="3" t="s">
        <v>15</v>
      </c>
      <c r="C63" s="2">
        <v>39.200000000000003</v>
      </c>
      <c r="D63" s="2">
        <v>0</v>
      </c>
      <c r="E63" s="3" t="s">
        <v>16</v>
      </c>
      <c r="F63" s="3" t="s">
        <v>10</v>
      </c>
      <c r="G63" s="4">
        <v>13470.8</v>
      </c>
      <c r="H63">
        <f t="shared" si="0"/>
        <v>1</v>
      </c>
      <c r="I63" s="6">
        <f t="shared" si="1"/>
        <v>13470.8</v>
      </c>
      <c r="L63" s="19"/>
      <c r="O63" s="2"/>
      <c r="P63" s="3"/>
      <c r="Q63" s="2"/>
      <c r="R63" s="2"/>
      <c r="S63" s="3"/>
      <c r="T63" s="3"/>
      <c r="U63" s="4"/>
      <c r="W63" s="6"/>
    </row>
    <row r="64" spans="1:23" ht="15" thickBot="1" x14ac:dyDescent="0.35">
      <c r="A64" s="2">
        <v>62</v>
      </c>
      <c r="B64" s="3" t="s">
        <v>14</v>
      </c>
      <c r="C64" s="2">
        <v>39.9</v>
      </c>
      <c r="D64" s="2">
        <v>0</v>
      </c>
      <c r="E64" s="3" t="s">
        <v>16</v>
      </c>
      <c r="F64" s="3" t="s">
        <v>10</v>
      </c>
      <c r="G64" s="4">
        <v>12982.87</v>
      </c>
      <c r="H64">
        <f t="shared" si="0"/>
        <v>1</v>
      </c>
      <c r="I64" s="6">
        <f t="shared" si="1"/>
        <v>12982.87</v>
      </c>
      <c r="L64" s="19"/>
      <c r="O64" s="2"/>
      <c r="P64" s="3"/>
      <c r="Q64" s="2"/>
      <c r="R64" s="2"/>
      <c r="S64" s="3"/>
      <c r="T64" s="3"/>
      <c r="U64" s="4"/>
      <c r="W64" s="6"/>
    </row>
    <row r="65" spans="1:23" ht="15" thickBot="1" x14ac:dyDescent="0.35">
      <c r="A65" s="2">
        <v>62</v>
      </c>
      <c r="B65" s="3" t="s">
        <v>15</v>
      </c>
      <c r="C65" s="2">
        <v>30.5</v>
      </c>
      <c r="D65" s="2">
        <v>2</v>
      </c>
      <c r="E65" s="3" t="s">
        <v>16</v>
      </c>
      <c r="F65" s="3" t="s">
        <v>7</v>
      </c>
      <c r="G65" s="4">
        <v>15019.76</v>
      </c>
      <c r="H65">
        <f t="shared" si="0"/>
        <v>3</v>
      </c>
      <c r="I65" s="6">
        <f t="shared" si="1"/>
        <v>5006.586666666667</v>
      </c>
      <c r="L65" s="19"/>
      <c r="O65" s="2"/>
      <c r="P65" s="3"/>
      <c r="Q65" s="2"/>
      <c r="R65" s="2"/>
      <c r="S65" s="3"/>
      <c r="T65" s="3"/>
      <c r="U65" s="4"/>
      <c r="W65" s="6"/>
    </row>
    <row r="66" spans="1:23" ht="15" thickBot="1" x14ac:dyDescent="0.35">
      <c r="A66" s="2">
        <v>62</v>
      </c>
      <c r="B66" s="3" t="s">
        <v>15</v>
      </c>
      <c r="C66" s="2">
        <v>32.700000000000003</v>
      </c>
      <c r="D66" s="2">
        <v>0</v>
      </c>
      <c r="E66" s="3" t="s">
        <v>16</v>
      </c>
      <c r="F66" s="3" t="s">
        <v>7</v>
      </c>
      <c r="G66" s="4">
        <v>13844.8</v>
      </c>
      <c r="H66">
        <f t="shared" si="0"/>
        <v>1</v>
      </c>
      <c r="I66" s="6">
        <f t="shared" si="1"/>
        <v>13844.8</v>
      </c>
      <c r="L66" s="19"/>
      <c r="O66" s="2"/>
      <c r="P66" s="3"/>
      <c r="Q66" s="2"/>
      <c r="R66" s="2"/>
      <c r="S66" s="3"/>
      <c r="T66" s="3"/>
      <c r="U66" s="4"/>
      <c r="W66" s="6"/>
    </row>
    <row r="67" spans="1:23" ht="15" thickBot="1" x14ac:dyDescent="0.35">
      <c r="A67" s="2">
        <v>62</v>
      </c>
      <c r="B67" s="3" t="s">
        <v>14</v>
      </c>
      <c r="C67" s="2">
        <v>30.9</v>
      </c>
      <c r="D67" s="2">
        <v>3</v>
      </c>
      <c r="E67" s="3" t="s">
        <v>17</v>
      </c>
      <c r="F67" s="3" t="s">
        <v>7</v>
      </c>
      <c r="G67" s="4">
        <v>46718.16</v>
      </c>
      <c r="H67">
        <f t="shared" ref="H67:H130" si="3">D67+1</f>
        <v>4</v>
      </c>
      <c r="I67" s="6">
        <f t="shared" ref="I67:I130" si="4">G67/H67</f>
        <v>11679.54</v>
      </c>
      <c r="L67" s="19"/>
      <c r="O67" s="2"/>
      <c r="P67" s="3"/>
      <c r="Q67" s="2"/>
      <c r="R67" s="2"/>
      <c r="S67" s="3"/>
      <c r="T67" s="3"/>
      <c r="U67" s="4"/>
      <c r="W67" s="6"/>
    </row>
    <row r="68" spans="1:23" ht="15" thickBot="1" x14ac:dyDescent="0.35">
      <c r="A68" s="2">
        <v>62</v>
      </c>
      <c r="B68" s="3" t="s">
        <v>14</v>
      </c>
      <c r="C68" s="2">
        <v>26.7</v>
      </c>
      <c r="D68" s="2">
        <v>0</v>
      </c>
      <c r="E68" s="3" t="s">
        <v>17</v>
      </c>
      <c r="F68" s="3" t="s">
        <v>9</v>
      </c>
      <c r="G68" s="4">
        <v>28101.33</v>
      </c>
      <c r="H68">
        <f t="shared" si="3"/>
        <v>1</v>
      </c>
      <c r="I68" s="6">
        <f t="shared" si="4"/>
        <v>28101.33</v>
      </c>
      <c r="L68" s="19"/>
      <c r="O68" s="2"/>
      <c r="P68" s="3"/>
      <c r="Q68" s="2"/>
      <c r="R68" s="2"/>
      <c r="S68" s="3"/>
      <c r="T68" s="3"/>
      <c r="U68" s="4"/>
      <c r="W68" s="6"/>
    </row>
    <row r="69" spans="1:23" ht="15" thickBot="1" x14ac:dyDescent="0.35">
      <c r="A69" s="2">
        <v>62</v>
      </c>
      <c r="B69" s="3" t="s">
        <v>14</v>
      </c>
      <c r="C69" s="2">
        <v>38.799999999999997</v>
      </c>
      <c r="D69" s="2">
        <v>0</v>
      </c>
      <c r="E69" s="3" t="s">
        <v>16</v>
      </c>
      <c r="F69" s="3" t="s">
        <v>10</v>
      </c>
      <c r="G69" s="4">
        <v>12981.35</v>
      </c>
      <c r="H69">
        <f t="shared" si="3"/>
        <v>1</v>
      </c>
      <c r="I69" s="6">
        <f t="shared" si="4"/>
        <v>12981.35</v>
      </c>
      <c r="L69" s="19"/>
      <c r="O69" s="2"/>
      <c r="P69" s="3"/>
      <c r="Q69" s="2"/>
      <c r="R69" s="2"/>
      <c r="S69" s="3"/>
      <c r="T69" s="3"/>
      <c r="U69" s="4"/>
      <c r="W69" s="6"/>
    </row>
    <row r="70" spans="1:23" ht="15" thickBot="1" x14ac:dyDescent="0.35">
      <c r="A70" s="2">
        <v>61</v>
      </c>
      <c r="B70" s="3" t="s">
        <v>15</v>
      </c>
      <c r="C70" s="2">
        <v>39.1</v>
      </c>
      <c r="D70" s="2">
        <v>2</v>
      </c>
      <c r="E70" s="3" t="s">
        <v>16</v>
      </c>
      <c r="F70" s="3" t="s">
        <v>8</v>
      </c>
      <c r="G70" s="4">
        <v>14235.07</v>
      </c>
      <c r="H70">
        <f t="shared" si="3"/>
        <v>3</v>
      </c>
      <c r="I70" s="6">
        <f t="shared" si="4"/>
        <v>4745.0233333333335</v>
      </c>
      <c r="L70" s="19"/>
      <c r="O70" s="2"/>
      <c r="P70" s="3"/>
      <c r="Q70" s="2"/>
      <c r="R70" s="2"/>
      <c r="S70" s="3"/>
      <c r="T70" s="3"/>
      <c r="U70" s="4"/>
      <c r="W70" s="6"/>
    </row>
    <row r="71" spans="1:23" ht="15" thickBot="1" x14ac:dyDescent="0.35">
      <c r="A71" s="2">
        <v>61</v>
      </c>
      <c r="B71" s="3" t="s">
        <v>15</v>
      </c>
      <c r="C71" s="2">
        <v>29.9</v>
      </c>
      <c r="D71" s="2">
        <v>3</v>
      </c>
      <c r="E71" s="3" t="s">
        <v>17</v>
      </c>
      <c r="F71" s="3" t="s">
        <v>10</v>
      </c>
      <c r="G71" s="4">
        <v>30942.19</v>
      </c>
      <c r="H71">
        <f t="shared" si="3"/>
        <v>4</v>
      </c>
      <c r="I71" s="6">
        <f t="shared" si="4"/>
        <v>7735.5474999999997</v>
      </c>
      <c r="L71" s="19"/>
      <c r="O71" s="2"/>
      <c r="P71" s="3"/>
      <c r="Q71" s="2"/>
      <c r="R71" s="2"/>
      <c r="S71" s="3"/>
      <c r="T71" s="3"/>
      <c r="U71" s="4"/>
      <c r="W71" s="6"/>
    </row>
    <row r="72" spans="1:23" ht="15" thickBot="1" x14ac:dyDescent="0.35">
      <c r="A72" s="2">
        <v>61</v>
      </c>
      <c r="B72" s="3" t="s">
        <v>15</v>
      </c>
      <c r="C72" s="2">
        <v>22</v>
      </c>
      <c r="D72" s="2">
        <v>0</v>
      </c>
      <c r="E72" s="3" t="s">
        <v>16</v>
      </c>
      <c r="F72" s="3" t="s">
        <v>9</v>
      </c>
      <c r="G72" s="4">
        <v>13616.36</v>
      </c>
      <c r="H72">
        <f t="shared" si="3"/>
        <v>1</v>
      </c>
      <c r="I72" s="6">
        <f t="shared" si="4"/>
        <v>13616.36</v>
      </c>
      <c r="L72" s="19"/>
      <c r="O72" s="2"/>
      <c r="P72" s="3"/>
      <c r="Q72" s="2"/>
      <c r="R72" s="2"/>
      <c r="S72" s="3"/>
      <c r="T72" s="3"/>
      <c r="U72" s="4"/>
      <c r="W72" s="6"/>
    </row>
    <row r="73" spans="1:23" ht="15" thickBot="1" x14ac:dyDescent="0.35">
      <c r="A73" s="2">
        <v>61</v>
      </c>
      <c r="B73" s="3" t="s">
        <v>14</v>
      </c>
      <c r="C73" s="2">
        <v>31.6</v>
      </c>
      <c r="D73" s="2">
        <v>0</v>
      </c>
      <c r="E73" s="3" t="s">
        <v>16</v>
      </c>
      <c r="F73" s="3" t="s">
        <v>10</v>
      </c>
      <c r="G73" s="4">
        <v>12557.61</v>
      </c>
      <c r="H73">
        <f t="shared" si="3"/>
        <v>1</v>
      </c>
      <c r="I73" s="6">
        <f t="shared" si="4"/>
        <v>12557.61</v>
      </c>
      <c r="L73" s="19"/>
      <c r="O73" s="2"/>
      <c r="P73" s="3"/>
      <c r="Q73" s="2"/>
      <c r="R73" s="2"/>
      <c r="S73" s="3"/>
      <c r="T73" s="3"/>
      <c r="U73" s="4"/>
      <c r="W73" s="6"/>
    </row>
    <row r="74" spans="1:23" ht="15" thickBot="1" x14ac:dyDescent="0.35">
      <c r="A74" s="2">
        <v>61</v>
      </c>
      <c r="B74" s="3" t="s">
        <v>15</v>
      </c>
      <c r="C74" s="2">
        <v>36.4</v>
      </c>
      <c r="D74" s="2">
        <v>1</v>
      </c>
      <c r="E74" s="3" t="s">
        <v>17</v>
      </c>
      <c r="F74" s="3" t="s">
        <v>9</v>
      </c>
      <c r="G74" s="4">
        <v>48517.56</v>
      </c>
      <c r="H74">
        <f t="shared" si="3"/>
        <v>2</v>
      </c>
      <c r="I74" s="6">
        <f t="shared" si="4"/>
        <v>24258.78</v>
      </c>
      <c r="L74" s="19"/>
      <c r="O74" s="2"/>
      <c r="P74" s="3"/>
      <c r="Q74" s="2"/>
      <c r="R74" s="2"/>
      <c r="S74" s="3"/>
      <c r="T74" s="3"/>
      <c r="U74" s="4"/>
      <c r="W74" s="6"/>
    </row>
    <row r="75" spans="1:23" ht="15" thickBot="1" x14ac:dyDescent="0.35">
      <c r="A75" s="2">
        <v>61</v>
      </c>
      <c r="B75" s="3" t="s">
        <v>15</v>
      </c>
      <c r="C75" s="2">
        <v>31.2</v>
      </c>
      <c r="D75" s="2">
        <v>0</v>
      </c>
      <c r="E75" s="3" t="s">
        <v>16</v>
      </c>
      <c r="F75" s="3" t="s">
        <v>7</v>
      </c>
      <c r="G75" s="4">
        <v>13429.04</v>
      </c>
      <c r="H75">
        <f t="shared" si="3"/>
        <v>1</v>
      </c>
      <c r="I75" s="6">
        <f t="shared" si="4"/>
        <v>13429.04</v>
      </c>
      <c r="L75" s="19"/>
      <c r="O75" s="2"/>
      <c r="P75" s="3"/>
      <c r="Q75" s="2"/>
      <c r="R75" s="2"/>
      <c r="S75" s="3"/>
      <c r="T75" s="3"/>
      <c r="U75" s="4"/>
      <c r="W75" s="6"/>
    </row>
    <row r="76" spans="1:23" ht="15" thickBot="1" x14ac:dyDescent="0.35">
      <c r="A76" s="2">
        <v>61</v>
      </c>
      <c r="B76" s="3" t="s">
        <v>15</v>
      </c>
      <c r="C76" s="2">
        <v>21.1</v>
      </c>
      <c r="D76" s="2">
        <v>0</v>
      </c>
      <c r="E76" s="3" t="s">
        <v>16</v>
      </c>
      <c r="F76" s="3" t="s">
        <v>7</v>
      </c>
      <c r="G76" s="4">
        <v>13415.04</v>
      </c>
      <c r="H76">
        <f t="shared" si="3"/>
        <v>1</v>
      </c>
      <c r="I76" s="6">
        <f t="shared" si="4"/>
        <v>13415.04</v>
      </c>
      <c r="L76" s="19"/>
      <c r="O76" s="2"/>
      <c r="P76" s="3"/>
      <c r="Q76" s="2"/>
      <c r="R76" s="2"/>
      <c r="S76" s="3"/>
      <c r="T76" s="3"/>
      <c r="U76" s="4"/>
      <c r="W76" s="6"/>
    </row>
    <row r="77" spans="1:23" ht="15" thickBot="1" x14ac:dyDescent="0.35">
      <c r="A77" s="2">
        <v>61</v>
      </c>
      <c r="B77" s="3" t="s">
        <v>14</v>
      </c>
      <c r="C77" s="2">
        <v>35.9</v>
      </c>
      <c r="D77" s="2">
        <v>0</v>
      </c>
      <c r="E77" s="3" t="s">
        <v>17</v>
      </c>
      <c r="F77" s="3" t="s">
        <v>10</v>
      </c>
      <c r="G77" s="4">
        <v>46599.11</v>
      </c>
      <c r="H77">
        <f t="shared" si="3"/>
        <v>1</v>
      </c>
      <c r="I77" s="6">
        <f t="shared" si="4"/>
        <v>46599.11</v>
      </c>
      <c r="L77" s="19"/>
      <c r="O77" s="2"/>
      <c r="P77" s="3"/>
      <c r="Q77" s="2"/>
      <c r="R77" s="2"/>
      <c r="S77" s="3"/>
      <c r="T77" s="3"/>
      <c r="U77" s="4"/>
      <c r="W77" s="6"/>
    </row>
    <row r="78" spans="1:23" ht="15" thickBot="1" x14ac:dyDescent="0.35">
      <c r="A78" s="2">
        <v>61</v>
      </c>
      <c r="B78" s="3" t="s">
        <v>14</v>
      </c>
      <c r="C78" s="2">
        <v>28.3</v>
      </c>
      <c r="D78" s="2">
        <v>1</v>
      </c>
      <c r="E78" s="3" t="s">
        <v>17</v>
      </c>
      <c r="F78" s="3" t="s">
        <v>7</v>
      </c>
      <c r="G78" s="4">
        <v>28868.66</v>
      </c>
      <c r="H78">
        <f t="shared" si="3"/>
        <v>2</v>
      </c>
      <c r="I78" s="6">
        <f t="shared" si="4"/>
        <v>14434.33</v>
      </c>
      <c r="L78" s="19"/>
      <c r="O78" s="2"/>
      <c r="P78" s="3"/>
      <c r="Q78" s="2"/>
      <c r="R78" s="2"/>
      <c r="S78" s="3"/>
      <c r="T78" s="3"/>
      <c r="U78" s="4"/>
      <c r="W78" s="6"/>
    </row>
    <row r="79" spans="1:23" ht="15" thickBot="1" x14ac:dyDescent="0.35">
      <c r="A79" s="2">
        <v>61</v>
      </c>
      <c r="B79" s="3" t="s">
        <v>15</v>
      </c>
      <c r="C79" s="2">
        <v>25.1</v>
      </c>
      <c r="D79" s="2">
        <v>0</v>
      </c>
      <c r="E79" s="3" t="s">
        <v>16</v>
      </c>
      <c r="F79" s="3" t="s">
        <v>10</v>
      </c>
      <c r="G79" s="4">
        <v>24513.09</v>
      </c>
      <c r="H79">
        <f t="shared" si="3"/>
        <v>1</v>
      </c>
      <c r="I79" s="6">
        <f t="shared" si="4"/>
        <v>24513.09</v>
      </c>
      <c r="L79" s="19"/>
      <c r="O79" s="2"/>
      <c r="P79" s="3"/>
      <c r="Q79" s="2"/>
      <c r="R79" s="2"/>
      <c r="S79" s="3"/>
      <c r="T79" s="3"/>
      <c r="U79" s="4"/>
      <c r="W79" s="6"/>
    </row>
    <row r="80" spans="1:23" ht="15" thickBot="1" x14ac:dyDescent="0.35">
      <c r="A80" s="2">
        <v>61</v>
      </c>
      <c r="B80" s="3" t="s">
        <v>14</v>
      </c>
      <c r="C80" s="2">
        <v>43.4</v>
      </c>
      <c r="D80" s="2">
        <v>0</v>
      </c>
      <c r="E80" s="3" t="s">
        <v>16</v>
      </c>
      <c r="F80" s="3" t="s">
        <v>8</v>
      </c>
      <c r="G80" s="4">
        <v>12574.05</v>
      </c>
      <c r="H80">
        <f t="shared" si="3"/>
        <v>1</v>
      </c>
      <c r="I80" s="6">
        <f t="shared" si="4"/>
        <v>12574.05</v>
      </c>
      <c r="L80" s="19"/>
      <c r="O80" s="2"/>
      <c r="P80" s="3"/>
      <c r="Q80" s="2"/>
      <c r="R80" s="2"/>
      <c r="S80" s="3"/>
      <c r="T80" s="3"/>
      <c r="U80" s="4"/>
      <c r="W80" s="6"/>
    </row>
    <row r="81" spans="1:23" ht="15" thickBot="1" x14ac:dyDescent="0.35">
      <c r="A81" s="2">
        <v>61</v>
      </c>
      <c r="B81" s="3" t="s">
        <v>15</v>
      </c>
      <c r="C81" s="2">
        <v>35.9</v>
      </c>
      <c r="D81" s="2">
        <v>0</v>
      </c>
      <c r="E81" s="3" t="s">
        <v>16</v>
      </c>
      <c r="F81" s="3" t="s">
        <v>9</v>
      </c>
      <c r="G81" s="4">
        <v>13635.64</v>
      </c>
      <c r="H81">
        <f t="shared" si="3"/>
        <v>1</v>
      </c>
      <c r="I81" s="6">
        <f t="shared" si="4"/>
        <v>13635.64</v>
      </c>
      <c r="L81" s="19"/>
      <c r="O81" s="2"/>
      <c r="P81" s="3"/>
      <c r="Q81" s="2"/>
      <c r="R81" s="2"/>
      <c r="S81" s="3"/>
      <c r="T81" s="3"/>
      <c r="U81" s="4"/>
      <c r="W81" s="6"/>
    </row>
    <row r="82" spans="1:23" ht="15" thickBot="1" x14ac:dyDescent="0.35">
      <c r="A82" s="2">
        <v>61</v>
      </c>
      <c r="B82" s="3" t="s">
        <v>14</v>
      </c>
      <c r="C82" s="2">
        <v>33.9</v>
      </c>
      <c r="D82" s="2">
        <v>0</v>
      </c>
      <c r="E82" s="3" t="s">
        <v>16</v>
      </c>
      <c r="F82" s="3" t="s">
        <v>9</v>
      </c>
      <c r="G82" s="4">
        <v>13143.86</v>
      </c>
      <c r="H82">
        <f t="shared" si="3"/>
        <v>1</v>
      </c>
      <c r="I82" s="6">
        <f t="shared" si="4"/>
        <v>13143.86</v>
      </c>
      <c r="L82" s="19"/>
      <c r="O82" s="2"/>
      <c r="P82" s="3"/>
      <c r="Q82" s="2"/>
      <c r="R82" s="2"/>
      <c r="S82" s="3"/>
      <c r="T82" s="3"/>
      <c r="U82" s="4"/>
      <c r="W82" s="6"/>
    </row>
    <row r="83" spans="1:23" ht="15" thickBot="1" x14ac:dyDescent="0.35">
      <c r="A83" s="2">
        <v>61</v>
      </c>
      <c r="B83" s="3" t="s">
        <v>14</v>
      </c>
      <c r="C83" s="2">
        <v>36.1</v>
      </c>
      <c r="D83" s="2">
        <v>3</v>
      </c>
      <c r="E83" s="3" t="s">
        <v>16</v>
      </c>
      <c r="F83" s="3" t="s">
        <v>8</v>
      </c>
      <c r="G83" s="4">
        <v>27941.29</v>
      </c>
      <c r="H83">
        <f t="shared" si="3"/>
        <v>4</v>
      </c>
      <c r="I83" s="6">
        <f t="shared" si="4"/>
        <v>6985.3225000000002</v>
      </c>
      <c r="L83" s="19"/>
      <c r="O83" s="2"/>
      <c r="P83" s="3"/>
      <c r="Q83" s="2"/>
      <c r="R83" s="2"/>
      <c r="S83" s="3"/>
      <c r="T83" s="3"/>
      <c r="U83" s="4"/>
      <c r="W83" s="6"/>
    </row>
    <row r="84" spans="1:23" ht="15" thickBot="1" x14ac:dyDescent="0.35">
      <c r="A84" s="2">
        <v>61</v>
      </c>
      <c r="B84" s="3" t="s">
        <v>14</v>
      </c>
      <c r="C84" s="2">
        <v>32.299999999999997</v>
      </c>
      <c r="D84" s="2">
        <v>2</v>
      </c>
      <c r="E84" s="3" t="s">
        <v>16</v>
      </c>
      <c r="F84" s="3" t="s">
        <v>7</v>
      </c>
      <c r="G84" s="4">
        <v>14119.62</v>
      </c>
      <c r="H84">
        <f t="shared" si="3"/>
        <v>3</v>
      </c>
      <c r="I84" s="6">
        <f t="shared" si="4"/>
        <v>4706.54</v>
      </c>
      <c r="L84" s="19"/>
      <c r="O84" s="2"/>
      <c r="P84" s="3"/>
      <c r="Q84" s="2"/>
      <c r="R84" s="2"/>
      <c r="S84" s="3"/>
      <c r="T84" s="3"/>
      <c r="U84" s="4"/>
      <c r="W84" s="6"/>
    </row>
    <row r="85" spans="1:23" ht="15" thickBot="1" x14ac:dyDescent="0.35">
      <c r="A85" s="2">
        <v>61</v>
      </c>
      <c r="B85" s="3" t="s">
        <v>14</v>
      </c>
      <c r="C85" s="2">
        <v>23.7</v>
      </c>
      <c r="D85" s="2">
        <v>0</v>
      </c>
      <c r="E85" s="3" t="s">
        <v>16</v>
      </c>
      <c r="F85" s="3" t="s">
        <v>9</v>
      </c>
      <c r="G85" s="4">
        <v>13129.6</v>
      </c>
      <c r="H85">
        <f t="shared" si="3"/>
        <v>1</v>
      </c>
      <c r="I85" s="6">
        <f t="shared" si="4"/>
        <v>13129.6</v>
      </c>
      <c r="L85" s="19"/>
      <c r="O85" s="2"/>
      <c r="P85" s="3"/>
      <c r="Q85" s="2"/>
      <c r="R85" s="2"/>
      <c r="S85" s="3"/>
      <c r="T85" s="3"/>
      <c r="U85" s="4"/>
      <c r="W85" s="6"/>
    </row>
    <row r="86" spans="1:23" ht="15" thickBot="1" x14ac:dyDescent="0.35">
      <c r="A86" s="2">
        <v>61</v>
      </c>
      <c r="B86" s="3" t="s">
        <v>15</v>
      </c>
      <c r="C86" s="2">
        <v>44</v>
      </c>
      <c r="D86" s="2">
        <v>0</v>
      </c>
      <c r="E86" s="3" t="s">
        <v>16</v>
      </c>
      <c r="F86" s="3" t="s">
        <v>8</v>
      </c>
      <c r="G86" s="4">
        <v>13063.88</v>
      </c>
      <c r="H86">
        <f t="shared" si="3"/>
        <v>1</v>
      </c>
      <c r="I86" s="6">
        <f t="shared" si="4"/>
        <v>13063.88</v>
      </c>
      <c r="L86" s="19"/>
      <c r="O86" s="2"/>
      <c r="P86" s="3"/>
      <c r="Q86" s="2"/>
      <c r="R86" s="2"/>
      <c r="S86" s="3"/>
      <c r="T86" s="3"/>
      <c r="U86" s="4"/>
      <c r="W86" s="6"/>
    </row>
    <row r="87" spans="1:23" ht="15" thickBot="1" x14ac:dyDescent="0.35">
      <c r="A87" s="2">
        <v>61</v>
      </c>
      <c r="B87" s="3" t="s">
        <v>15</v>
      </c>
      <c r="C87" s="2">
        <v>28.2</v>
      </c>
      <c r="D87" s="2">
        <v>0</v>
      </c>
      <c r="E87" s="3" t="s">
        <v>16</v>
      </c>
      <c r="F87" s="3" t="s">
        <v>8</v>
      </c>
      <c r="G87" s="4">
        <v>13041.92</v>
      </c>
      <c r="H87">
        <f t="shared" si="3"/>
        <v>1</v>
      </c>
      <c r="I87" s="6">
        <f t="shared" si="4"/>
        <v>13041.92</v>
      </c>
      <c r="L87" s="19"/>
      <c r="O87" s="2"/>
      <c r="P87" s="3"/>
      <c r="Q87" s="2"/>
      <c r="R87" s="2"/>
      <c r="S87" s="3"/>
      <c r="T87" s="3"/>
      <c r="U87" s="4"/>
      <c r="W87" s="6"/>
    </row>
    <row r="88" spans="1:23" ht="15" thickBot="1" x14ac:dyDescent="0.35">
      <c r="A88" s="2">
        <v>61</v>
      </c>
      <c r="B88" s="3" t="s">
        <v>15</v>
      </c>
      <c r="C88" s="2">
        <v>33.299999999999997</v>
      </c>
      <c r="D88" s="2">
        <v>4</v>
      </c>
      <c r="E88" s="3" t="s">
        <v>16</v>
      </c>
      <c r="F88" s="3" t="s">
        <v>10</v>
      </c>
      <c r="G88" s="4">
        <v>36580.28</v>
      </c>
      <c r="H88">
        <f t="shared" si="3"/>
        <v>5</v>
      </c>
      <c r="I88" s="6">
        <f t="shared" si="4"/>
        <v>7316.0559999999996</v>
      </c>
      <c r="L88" s="19"/>
      <c r="O88" s="2"/>
      <c r="P88" s="3"/>
      <c r="Q88" s="2"/>
      <c r="R88" s="2"/>
      <c r="S88" s="3"/>
      <c r="T88" s="3"/>
      <c r="U88" s="4"/>
      <c r="W88" s="6"/>
    </row>
    <row r="89" spans="1:23" ht="15" thickBot="1" x14ac:dyDescent="0.35">
      <c r="A89" s="2">
        <v>61</v>
      </c>
      <c r="B89" s="3" t="s">
        <v>14</v>
      </c>
      <c r="C89" s="2">
        <v>38.4</v>
      </c>
      <c r="D89" s="2">
        <v>0</v>
      </c>
      <c r="E89" s="3" t="s">
        <v>16</v>
      </c>
      <c r="F89" s="3" t="s">
        <v>7</v>
      </c>
      <c r="G89" s="4">
        <v>12950.07</v>
      </c>
      <c r="H89">
        <f t="shared" si="3"/>
        <v>1</v>
      </c>
      <c r="I89" s="6">
        <f t="shared" si="4"/>
        <v>12950.07</v>
      </c>
      <c r="L89" s="19"/>
      <c r="O89" s="2"/>
      <c r="P89" s="3"/>
      <c r="Q89" s="2"/>
      <c r="R89" s="2"/>
      <c r="S89" s="3"/>
      <c r="T89" s="3"/>
      <c r="U89" s="4"/>
      <c r="W89" s="6"/>
    </row>
    <row r="90" spans="1:23" ht="15" thickBot="1" x14ac:dyDescent="0.35">
      <c r="A90" s="2">
        <v>61</v>
      </c>
      <c r="B90" s="3" t="s">
        <v>14</v>
      </c>
      <c r="C90" s="2">
        <v>36.299999999999997</v>
      </c>
      <c r="D90" s="2">
        <v>1</v>
      </c>
      <c r="E90" s="3" t="s">
        <v>17</v>
      </c>
      <c r="F90" s="3" t="s">
        <v>8</v>
      </c>
      <c r="G90" s="4">
        <v>47403.88</v>
      </c>
      <c r="H90">
        <f t="shared" si="3"/>
        <v>2</v>
      </c>
      <c r="I90" s="6">
        <f t="shared" si="4"/>
        <v>23701.94</v>
      </c>
      <c r="L90" s="19"/>
      <c r="O90" s="2"/>
      <c r="P90" s="3"/>
      <c r="Q90" s="2"/>
      <c r="R90" s="2"/>
      <c r="S90" s="3"/>
      <c r="T90" s="3"/>
      <c r="U90" s="4"/>
      <c r="W90" s="6"/>
    </row>
    <row r="91" spans="1:23" ht="15" thickBot="1" x14ac:dyDescent="0.35">
      <c r="A91" s="2">
        <v>61</v>
      </c>
      <c r="B91" s="3" t="s">
        <v>14</v>
      </c>
      <c r="C91" s="2">
        <v>33.5</v>
      </c>
      <c r="D91" s="2">
        <v>0</v>
      </c>
      <c r="E91" s="3" t="s">
        <v>16</v>
      </c>
      <c r="F91" s="3" t="s">
        <v>9</v>
      </c>
      <c r="G91" s="4">
        <v>13143.34</v>
      </c>
      <c r="H91">
        <f t="shared" si="3"/>
        <v>1</v>
      </c>
      <c r="I91" s="6">
        <f t="shared" si="4"/>
        <v>13143.34</v>
      </c>
      <c r="L91" s="19"/>
      <c r="O91" s="2"/>
      <c r="P91" s="3"/>
      <c r="Q91" s="2"/>
      <c r="R91" s="2"/>
      <c r="S91" s="3"/>
      <c r="T91" s="3"/>
      <c r="U91" s="4"/>
      <c r="W91" s="6"/>
    </row>
    <row r="92" spans="1:23" ht="15" thickBot="1" x14ac:dyDescent="0.35">
      <c r="A92" s="2">
        <v>61</v>
      </c>
      <c r="B92" s="3" t="s">
        <v>15</v>
      </c>
      <c r="C92" s="2">
        <v>29.1</v>
      </c>
      <c r="D92" s="2">
        <v>0</v>
      </c>
      <c r="E92" s="3" t="s">
        <v>17</v>
      </c>
      <c r="F92" s="3" t="s">
        <v>7</v>
      </c>
      <c r="G92" s="4">
        <v>29141.360000000001</v>
      </c>
      <c r="H92">
        <f t="shared" si="3"/>
        <v>1</v>
      </c>
      <c r="I92" s="6">
        <f t="shared" si="4"/>
        <v>29141.360000000001</v>
      </c>
      <c r="L92" s="19"/>
      <c r="O92" s="2"/>
      <c r="P92" s="3"/>
      <c r="Q92" s="2"/>
      <c r="R92" s="2"/>
      <c r="S92" s="3"/>
      <c r="T92" s="3"/>
      <c r="U92" s="4"/>
      <c r="W92" s="6"/>
    </row>
    <row r="93" spans="1:23" ht="15" thickBot="1" x14ac:dyDescent="0.35">
      <c r="A93" s="2">
        <v>60</v>
      </c>
      <c r="B93" s="3" t="s">
        <v>15</v>
      </c>
      <c r="C93" s="2">
        <v>25.8</v>
      </c>
      <c r="D93" s="2">
        <v>0</v>
      </c>
      <c r="E93" s="3" t="s">
        <v>16</v>
      </c>
      <c r="F93" s="3" t="s">
        <v>7</v>
      </c>
      <c r="G93" s="4">
        <v>28923.14</v>
      </c>
      <c r="H93">
        <f t="shared" si="3"/>
        <v>1</v>
      </c>
      <c r="I93" s="6">
        <f t="shared" si="4"/>
        <v>28923.14</v>
      </c>
      <c r="L93" s="19"/>
      <c r="O93" s="2"/>
      <c r="P93" s="3"/>
      <c r="Q93" s="2"/>
      <c r="R93" s="2"/>
      <c r="S93" s="3"/>
      <c r="T93" s="3"/>
      <c r="U93" s="4"/>
      <c r="W93" s="6"/>
    </row>
    <row r="94" spans="1:23" ht="15" thickBot="1" x14ac:dyDescent="0.35">
      <c r="A94" s="2">
        <v>60</v>
      </c>
      <c r="B94" s="3" t="s">
        <v>15</v>
      </c>
      <c r="C94" s="2">
        <v>36</v>
      </c>
      <c r="D94" s="2">
        <v>0</v>
      </c>
      <c r="E94" s="3" t="s">
        <v>16</v>
      </c>
      <c r="F94" s="3" t="s">
        <v>9</v>
      </c>
      <c r="G94" s="4">
        <v>13228.85</v>
      </c>
      <c r="H94">
        <f t="shared" si="3"/>
        <v>1</v>
      </c>
      <c r="I94" s="6">
        <f t="shared" si="4"/>
        <v>13228.85</v>
      </c>
      <c r="L94" s="19"/>
      <c r="O94" s="2"/>
      <c r="P94" s="3"/>
      <c r="Q94" s="2"/>
      <c r="R94" s="2"/>
      <c r="S94" s="3"/>
      <c r="T94" s="3"/>
      <c r="U94" s="4"/>
      <c r="W94" s="6"/>
    </row>
    <row r="95" spans="1:23" ht="15" thickBot="1" x14ac:dyDescent="0.35">
      <c r="A95" s="2">
        <v>60</v>
      </c>
      <c r="B95" s="3" t="s">
        <v>14</v>
      </c>
      <c r="C95" s="2">
        <v>39.9</v>
      </c>
      <c r="D95" s="2">
        <v>0</v>
      </c>
      <c r="E95" s="3" t="s">
        <v>17</v>
      </c>
      <c r="F95" s="3" t="s">
        <v>8</v>
      </c>
      <c r="G95" s="4">
        <v>48173.36</v>
      </c>
      <c r="H95">
        <f t="shared" si="3"/>
        <v>1</v>
      </c>
      <c r="I95" s="6">
        <f t="shared" si="4"/>
        <v>48173.36</v>
      </c>
      <c r="L95" s="19"/>
      <c r="O95" s="2"/>
      <c r="P95" s="3"/>
      <c r="Q95" s="2"/>
      <c r="R95" s="2"/>
      <c r="S95" s="3"/>
      <c r="T95" s="3"/>
      <c r="U95" s="4"/>
      <c r="W95" s="6"/>
    </row>
    <row r="96" spans="1:23" ht="15" thickBot="1" x14ac:dyDescent="0.35">
      <c r="A96" s="2">
        <v>60</v>
      </c>
      <c r="B96" s="3" t="s">
        <v>15</v>
      </c>
      <c r="C96" s="2">
        <v>24.5</v>
      </c>
      <c r="D96" s="2">
        <v>0</v>
      </c>
      <c r="E96" s="3" t="s">
        <v>16</v>
      </c>
      <c r="F96" s="3" t="s">
        <v>10</v>
      </c>
      <c r="G96" s="4">
        <v>12629.9</v>
      </c>
      <c r="H96">
        <f t="shared" si="3"/>
        <v>1</v>
      </c>
      <c r="I96" s="6">
        <f t="shared" si="4"/>
        <v>12629.9</v>
      </c>
      <c r="L96" s="19"/>
      <c r="O96" s="2"/>
      <c r="P96" s="3"/>
      <c r="Q96" s="2"/>
      <c r="R96" s="2"/>
      <c r="S96" s="3"/>
      <c r="T96" s="3"/>
      <c r="U96" s="4"/>
      <c r="W96" s="6"/>
    </row>
    <row r="97" spans="1:23" ht="15" thickBot="1" x14ac:dyDescent="0.35">
      <c r="A97" s="2">
        <v>60</v>
      </c>
      <c r="B97" s="3" t="s">
        <v>14</v>
      </c>
      <c r="C97" s="2">
        <v>28.6</v>
      </c>
      <c r="D97" s="2">
        <v>0</v>
      </c>
      <c r="E97" s="3" t="s">
        <v>16</v>
      </c>
      <c r="F97" s="3" t="s">
        <v>9</v>
      </c>
      <c r="G97" s="4">
        <v>30260</v>
      </c>
      <c r="H97">
        <f t="shared" si="3"/>
        <v>1</v>
      </c>
      <c r="I97" s="6">
        <f t="shared" si="4"/>
        <v>30260</v>
      </c>
      <c r="L97" s="19"/>
      <c r="O97" s="2"/>
      <c r="P97" s="3"/>
      <c r="Q97" s="2"/>
      <c r="R97" s="2"/>
      <c r="S97" s="3"/>
      <c r="T97" s="3"/>
      <c r="U97" s="4"/>
      <c r="W97" s="6"/>
    </row>
    <row r="98" spans="1:23" ht="15" thickBot="1" x14ac:dyDescent="0.35">
      <c r="A98" s="2">
        <v>60</v>
      </c>
      <c r="B98" s="3" t="s">
        <v>15</v>
      </c>
      <c r="C98" s="2">
        <v>24</v>
      </c>
      <c r="D98" s="2">
        <v>0</v>
      </c>
      <c r="E98" s="3" t="s">
        <v>16</v>
      </c>
      <c r="F98" s="3" t="s">
        <v>7</v>
      </c>
      <c r="G98" s="4">
        <v>13012.21</v>
      </c>
      <c r="H98">
        <f t="shared" si="3"/>
        <v>1</v>
      </c>
      <c r="I98" s="6">
        <f t="shared" si="4"/>
        <v>13012.21</v>
      </c>
      <c r="L98" s="19"/>
      <c r="O98" s="2"/>
      <c r="P98" s="3"/>
      <c r="Q98" s="2"/>
      <c r="R98" s="2"/>
      <c r="S98" s="3"/>
      <c r="T98" s="3"/>
      <c r="U98" s="4"/>
      <c r="W98" s="6"/>
    </row>
    <row r="99" spans="1:23" ht="15" thickBot="1" x14ac:dyDescent="0.35">
      <c r="A99" s="2">
        <v>60</v>
      </c>
      <c r="B99" s="3" t="s">
        <v>15</v>
      </c>
      <c r="C99" s="2">
        <v>38.1</v>
      </c>
      <c r="D99" s="2">
        <v>0</v>
      </c>
      <c r="E99" s="3" t="s">
        <v>16</v>
      </c>
      <c r="F99" s="3" t="s">
        <v>10</v>
      </c>
      <c r="G99" s="4">
        <v>12648.7</v>
      </c>
      <c r="H99">
        <f t="shared" si="3"/>
        <v>1</v>
      </c>
      <c r="I99" s="6">
        <f t="shared" si="4"/>
        <v>12648.7</v>
      </c>
      <c r="L99" s="19"/>
      <c r="O99" s="2"/>
      <c r="P99" s="3"/>
      <c r="Q99" s="2"/>
      <c r="R99" s="2"/>
      <c r="S99" s="3"/>
      <c r="T99" s="3"/>
      <c r="U99" s="4"/>
      <c r="W99" s="6"/>
    </row>
    <row r="100" spans="1:23" ht="15" thickBot="1" x14ac:dyDescent="0.35">
      <c r="A100" s="2">
        <v>60</v>
      </c>
      <c r="B100" s="3" t="s">
        <v>14</v>
      </c>
      <c r="C100" s="2">
        <v>25.7</v>
      </c>
      <c r="D100" s="2">
        <v>0</v>
      </c>
      <c r="E100" s="3" t="s">
        <v>16</v>
      </c>
      <c r="F100" s="3" t="s">
        <v>10</v>
      </c>
      <c r="G100" s="4">
        <v>12142.58</v>
      </c>
      <c r="H100">
        <f t="shared" si="3"/>
        <v>1</v>
      </c>
      <c r="I100" s="6">
        <f t="shared" si="4"/>
        <v>12142.58</v>
      </c>
      <c r="L100" s="19"/>
      <c r="O100" s="2"/>
      <c r="P100" s="3"/>
      <c r="Q100" s="2"/>
      <c r="R100" s="2"/>
      <c r="S100" s="3"/>
      <c r="T100" s="3"/>
      <c r="U100" s="4"/>
      <c r="W100" s="6"/>
    </row>
    <row r="101" spans="1:23" ht="15" thickBot="1" x14ac:dyDescent="0.35">
      <c r="A101" s="2">
        <v>60</v>
      </c>
      <c r="B101" s="3" t="s">
        <v>15</v>
      </c>
      <c r="C101" s="2">
        <v>27.6</v>
      </c>
      <c r="D101" s="2">
        <v>0</v>
      </c>
      <c r="E101" s="3" t="s">
        <v>16</v>
      </c>
      <c r="F101" s="3" t="s">
        <v>9</v>
      </c>
      <c r="G101" s="4">
        <v>13217.09</v>
      </c>
      <c r="H101">
        <f t="shared" si="3"/>
        <v>1</v>
      </c>
      <c r="I101" s="6">
        <f t="shared" si="4"/>
        <v>13217.09</v>
      </c>
      <c r="L101" s="19"/>
      <c r="O101" s="2"/>
      <c r="P101" s="3"/>
      <c r="Q101" s="2"/>
      <c r="R101" s="2"/>
      <c r="S101" s="3"/>
      <c r="T101" s="3"/>
      <c r="U101" s="4"/>
      <c r="W101" s="6"/>
    </row>
    <row r="102" spans="1:23" ht="15" thickBot="1" x14ac:dyDescent="0.35">
      <c r="A102" s="2">
        <v>60</v>
      </c>
      <c r="B102" s="3" t="s">
        <v>15</v>
      </c>
      <c r="C102" s="2">
        <v>30.5</v>
      </c>
      <c r="D102" s="2">
        <v>0</v>
      </c>
      <c r="E102" s="3" t="s">
        <v>16</v>
      </c>
      <c r="F102" s="3" t="s">
        <v>8</v>
      </c>
      <c r="G102" s="4">
        <v>12638.2</v>
      </c>
      <c r="H102">
        <f t="shared" si="3"/>
        <v>1</v>
      </c>
      <c r="I102" s="6">
        <f t="shared" si="4"/>
        <v>12638.2</v>
      </c>
      <c r="L102" s="19"/>
      <c r="O102" s="2"/>
      <c r="P102" s="3"/>
      <c r="Q102" s="2"/>
      <c r="R102" s="2"/>
      <c r="S102" s="3"/>
      <c r="T102" s="3"/>
      <c r="U102" s="4"/>
      <c r="W102" s="6"/>
    </row>
    <row r="103" spans="1:23" ht="15" thickBot="1" x14ac:dyDescent="0.35">
      <c r="A103" s="2">
        <v>60</v>
      </c>
      <c r="B103" s="3" t="s">
        <v>14</v>
      </c>
      <c r="C103" s="2">
        <v>33.1</v>
      </c>
      <c r="D103" s="2">
        <v>3</v>
      </c>
      <c r="E103" s="3" t="s">
        <v>16</v>
      </c>
      <c r="F103" s="3" t="s">
        <v>10</v>
      </c>
      <c r="G103" s="4">
        <v>13919.82</v>
      </c>
      <c r="H103">
        <f t="shared" si="3"/>
        <v>4</v>
      </c>
      <c r="I103" s="6">
        <f t="shared" si="4"/>
        <v>3479.9549999999999</v>
      </c>
      <c r="L103" s="19"/>
      <c r="O103" s="2"/>
      <c r="P103" s="3"/>
      <c r="Q103" s="2"/>
      <c r="R103" s="2"/>
      <c r="S103" s="3"/>
      <c r="T103" s="3"/>
      <c r="U103" s="4"/>
      <c r="W103" s="6"/>
    </row>
    <row r="104" spans="1:23" ht="15" thickBot="1" x14ac:dyDescent="0.35">
      <c r="A104" s="2">
        <v>60</v>
      </c>
      <c r="B104" s="3" t="s">
        <v>14</v>
      </c>
      <c r="C104" s="2">
        <v>29.6</v>
      </c>
      <c r="D104" s="2">
        <v>0</v>
      </c>
      <c r="E104" s="3" t="s">
        <v>16</v>
      </c>
      <c r="F104" s="3" t="s">
        <v>9</v>
      </c>
      <c r="G104" s="4">
        <v>12731</v>
      </c>
      <c r="H104">
        <f t="shared" si="3"/>
        <v>1</v>
      </c>
      <c r="I104" s="6">
        <f t="shared" si="4"/>
        <v>12731</v>
      </c>
      <c r="L104" s="19"/>
      <c r="O104" s="2"/>
      <c r="P104" s="3"/>
      <c r="Q104" s="2"/>
      <c r="R104" s="2"/>
      <c r="S104" s="3"/>
      <c r="T104" s="3"/>
      <c r="U104" s="4"/>
      <c r="W104" s="6"/>
    </row>
    <row r="105" spans="1:23" ht="15" thickBot="1" x14ac:dyDescent="0.35">
      <c r="A105" s="2">
        <v>60</v>
      </c>
      <c r="B105" s="3" t="s">
        <v>15</v>
      </c>
      <c r="C105" s="2">
        <v>28.7</v>
      </c>
      <c r="D105" s="2">
        <v>1</v>
      </c>
      <c r="E105" s="3" t="s">
        <v>16</v>
      </c>
      <c r="F105" s="3" t="s">
        <v>8</v>
      </c>
      <c r="G105" s="4">
        <v>13224.69</v>
      </c>
      <c r="H105">
        <f t="shared" si="3"/>
        <v>2</v>
      </c>
      <c r="I105" s="6">
        <f t="shared" si="4"/>
        <v>6612.3450000000003</v>
      </c>
      <c r="L105" s="19"/>
      <c r="O105" s="2"/>
      <c r="P105" s="3"/>
      <c r="Q105" s="2"/>
      <c r="R105" s="2"/>
      <c r="S105" s="3"/>
      <c r="T105" s="3"/>
      <c r="U105" s="4"/>
      <c r="W105" s="6"/>
    </row>
    <row r="106" spans="1:23" ht="15" thickBot="1" x14ac:dyDescent="0.35">
      <c r="A106" s="2">
        <v>60</v>
      </c>
      <c r="B106" s="3" t="s">
        <v>14</v>
      </c>
      <c r="C106" s="2">
        <v>31.4</v>
      </c>
      <c r="D106" s="2">
        <v>3</v>
      </c>
      <c r="E106" s="3" t="s">
        <v>17</v>
      </c>
      <c r="F106" s="3" t="s">
        <v>7</v>
      </c>
      <c r="G106" s="4">
        <v>46130.53</v>
      </c>
      <c r="H106">
        <f t="shared" si="3"/>
        <v>4</v>
      </c>
      <c r="I106" s="6">
        <f t="shared" si="4"/>
        <v>11532.6325</v>
      </c>
      <c r="L106" s="19"/>
      <c r="O106" s="2"/>
      <c r="P106" s="3"/>
      <c r="Q106" s="2"/>
      <c r="R106" s="2"/>
      <c r="S106" s="3"/>
      <c r="T106" s="3"/>
      <c r="U106" s="4"/>
      <c r="W106" s="6"/>
    </row>
    <row r="107" spans="1:23" ht="15" thickBot="1" x14ac:dyDescent="0.35">
      <c r="A107" s="2">
        <v>60</v>
      </c>
      <c r="B107" s="3" t="s">
        <v>14</v>
      </c>
      <c r="C107" s="2">
        <v>28.9</v>
      </c>
      <c r="D107" s="2">
        <v>0</v>
      </c>
      <c r="E107" s="3" t="s">
        <v>16</v>
      </c>
      <c r="F107" s="3" t="s">
        <v>8</v>
      </c>
      <c r="G107" s="4">
        <v>12146.97</v>
      </c>
      <c r="H107">
        <f t="shared" si="3"/>
        <v>1</v>
      </c>
      <c r="I107" s="6">
        <f t="shared" si="4"/>
        <v>12146.97</v>
      </c>
      <c r="L107" s="19"/>
      <c r="O107" s="2"/>
      <c r="P107" s="3"/>
      <c r="Q107" s="2"/>
      <c r="R107" s="2"/>
      <c r="S107" s="3"/>
      <c r="T107" s="3"/>
      <c r="U107" s="4"/>
      <c r="W107" s="6"/>
    </row>
    <row r="108" spans="1:23" ht="15" thickBot="1" x14ac:dyDescent="0.35">
      <c r="A108" s="2">
        <v>60</v>
      </c>
      <c r="B108" s="3" t="s">
        <v>14</v>
      </c>
      <c r="C108" s="2">
        <v>24.3</v>
      </c>
      <c r="D108" s="2">
        <v>1</v>
      </c>
      <c r="E108" s="3" t="s">
        <v>16</v>
      </c>
      <c r="F108" s="3" t="s">
        <v>7</v>
      </c>
      <c r="G108" s="4">
        <v>13112.6</v>
      </c>
      <c r="H108">
        <f t="shared" si="3"/>
        <v>2</v>
      </c>
      <c r="I108" s="6">
        <f t="shared" si="4"/>
        <v>6556.3</v>
      </c>
      <c r="L108" s="19"/>
      <c r="O108" s="2"/>
      <c r="P108" s="3"/>
      <c r="Q108" s="2"/>
      <c r="R108" s="2"/>
      <c r="S108" s="3"/>
      <c r="T108" s="3"/>
      <c r="U108" s="4"/>
      <c r="W108" s="6"/>
    </row>
    <row r="109" spans="1:23" ht="15" thickBot="1" x14ac:dyDescent="0.35">
      <c r="A109" s="2">
        <v>60</v>
      </c>
      <c r="B109" s="3" t="s">
        <v>14</v>
      </c>
      <c r="C109" s="2">
        <v>37</v>
      </c>
      <c r="D109" s="2">
        <v>0</v>
      </c>
      <c r="E109" s="3" t="s">
        <v>16</v>
      </c>
      <c r="F109" s="3" t="s">
        <v>9</v>
      </c>
      <c r="G109" s="4">
        <v>12741.17</v>
      </c>
      <c r="H109">
        <f t="shared" si="3"/>
        <v>1</v>
      </c>
      <c r="I109" s="6">
        <f t="shared" si="4"/>
        <v>12741.17</v>
      </c>
      <c r="L109" s="19"/>
      <c r="O109" s="2"/>
      <c r="P109" s="3"/>
      <c r="Q109" s="2"/>
      <c r="R109" s="2"/>
      <c r="S109" s="3"/>
      <c r="T109" s="3"/>
      <c r="U109" s="4"/>
      <c r="W109" s="6"/>
    </row>
    <row r="110" spans="1:23" ht="15" thickBot="1" x14ac:dyDescent="0.35">
      <c r="A110" s="2">
        <v>60</v>
      </c>
      <c r="B110" s="3" t="s">
        <v>14</v>
      </c>
      <c r="C110" s="2">
        <v>24.3</v>
      </c>
      <c r="D110" s="2">
        <v>0</v>
      </c>
      <c r="E110" s="3" t="s">
        <v>16</v>
      </c>
      <c r="F110" s="3" t="s">
        <v>7</v>
      </c>
      <c r="G110" s="4">
        <v>12523.6</v>
      </c>
      <c r="H110">
        <f t="shared" si="3"/>
        <v>1</v>
      </c>
      <c r="I110" s="6">
        <f t="shared" si="4"/>
        <v>12523.6</v>
      </c>
      <c r="L110" s="19"/>
      <c r="O110" s="2"/>
      <c r="P110" s="3"/>
      <c r="Q110" s="2"/>
      <c r="R110" s="2"/>
      <c r="S110" s="3"/>
      <c r="T110" s="3"/>
      <c r="U110" s="4"/>
      <c r="W110" s="6"/>
    </row>
    <row r="111" spans="1:23" ht="15" thickBot="1" x14ac:dyDescent="0.35">
      <c r="A111" s="2">
        <v>60</v>
      </c>
      <c r="B111" s="3" t="s">
        <v>15</v>
      </c>
      <c r="C111" s="2">
        <v>32.5</v>
      </c>
      <c r="D111" s="2">
        <v>0</v>
      </c>
      <c r="E111" s="3" t="s">
        <v>17</v>
      </c>
      <c r="F111" s="3" t="s">
        <v>10</v>
      </c>
      <c r="G111" s="4">
        <v>45008.959999999999</v>
      </c>
      <c r="H111">
        <f t="shared" si="3"/>
        <v>1</v>
      </c>
      <c r="I111" s="6">
        <f t="shared" si="4"/>
        <v>45008.959999999999</v>
      </c>
      <c r="L111" s="19"/>
      <c r="O111" s="2"/>
      <c r="P111" s="3"/>
      <c r="Q111" s="2"/>
      <c r="R111" s="2"/>
      <c r="S111" s="3"/>
      <c r="T111" s="3"/>
      <c r="U111" s="4"/>
      <c r="W111" s="6"/>
    </row>
    <row r="112" spans="1:23" ht="15" thickBot="1" x14ac:dyDescent="0.35">
      <c r="A112" s="2">
        <v>60</v>
      </c>
      <c r="B112" s="3" t="s">
        <v>14</v>
      </c>
      <c r="C112" s="2">
        <v>40.9</v>
      </c>
      <c r="D112" s="2">
        <v>0</v>
      </c>
      <c r="E112" s="3" t="s">
        <v>17</v>
      </c>
      <c r="F112" s="3" t="s">
        <v>10</v>
      </c>
      <c r="G112" s="4">
        <v>48673.56</v>
      </c>
      <c r="H112">
        <f t="shared" si="3"/>
        <v>1</v>
      </c>
      <c r="I112" s="6">
        <f t="shared" si="4"/>
        <v>48673.56</v>
      </c>
      <c r="L112" s="19"/>
      <c r="O112" s="2"/>
      <c r="P112" s="3"/>
      <c r="Q112" s="2"/>
      <c r="R112" s="2"/>
      <c r="S112" s="3"/>
      <c r="T112" s="3"/>
      <c r="U112" s="4"/>
      <c r="W112" s="6"/>
    </row>
    <row r="113" spans="1:23" ht="15" thickBot="1" x14ac:dyDescent="0.35">
      <c r="A113" s="2">
        <v>60</v>
      </c>
      <c r="B113" s="3" t="s">
        <v>15</v>
      </c>
      <c r="C113" s="2">
        <v>35.1</v>
      </c>
      <c r="D113" s="2">
        <v>0</v>
      </c>
      <c r="E113" s="3" t="s">
        <v>16</v>
      </c>
      <c r="F113" s="3" t="s">
        <v>8</v>
      </c>
      <c r="G113" s="4">
        <v>12644.59</v>
      </c>
      <c r="H113">
        <f t="shared" si="3"/>
        <v>1</v>
      </c>
      <c r="I113" s="6">
        <f t="shared" si="4"/>
        <v>12644.59</v>
      </c>
      <c r="L113" s="19"/>
      <c r="O113" s="2"/>
      <c r="P113" s="3"/>
      <c r="Q113" s="2"/>
      <c r="R113" s="2"/>
      <c r="S113" s="3"/>
      <c r="T113" s="3"/>
      <c r="U113" s="4"/>
      <c r="W113" s="6"/>
    </row>
    <row r="114" spans="1:23" ht="15" thickBot="1" x14ac:dyDescent="0.35">
      <c r="A114" s="2">
        <v>60</v>
      </c>
      <c r="B114" s="3" t="s">
        <v>15</v>
      </c>
      <c r="C114" s="2">
        <v>18.3</v>
      </c>
      <c r="D114" s="2">
        <v>0</v>
      </c>
      <c r="E114" s="3" t="s">
        <v>16</v>
      </c>
      <c r="F114" s="3" t="s">
        <v>9</v>
      </c>
      <c r="G114" s="4">
        <v>13204.29</v>
      </c>
      <c r="H114">
        <f t="shared" si="3"/>
        <v>1</v>
      </c>
      <c r="I114" s="6">
        <f t="shared" si="4"/>
        <v>13204.29</v>
      </c>
      <c r="L114" s="19"/>
      <c r="O114" s="2"/>
      <c r="P114" s="3"/>
      <c r="Q114" s="2"/>
      <c r="R114" s="2"/>
      <c r="S114" s="3"/>
      <c r="T114" s="3"/>
      <c r="U114" s="4"/>
      <c r="W114" s="6"/>
    </row>
    <row r="115" spans="1:23" ht="15" thickBot="1" x14ac:dyDescent="0.35">
      <c r="A115" s="2">
        <v>60</v>
      </c>
      <c r="B115" s="3" t="s">
        <v>14</v>
      </c>
      <c r="C115" s="2">
        <v>32.799999999999997</v>
      </c>
      <c r="D115" s="2">
        <v>0</v>
      </c>
      <c r="E115" s="3" t="s">
        <v>17</v>
      </c>
      <c r="F115" s="3" t="s">
        <v>8</v>
      </c>
      <c r="G115" s="4">
        <v>52590.83</v>
      </c>
      <c r="H115">
        <f t="shared" si="3"/>
        <v>1</v>
      </c>
      <c r="I115" s="6">
        <f t="shared" si="4"/>
        <v>52590.83</v>
      </c>
      <c r="L115" s="19"/>
      <c r="O115" s="2"/>
      <c r="P115" s="3"/>
      <c r="Q115" s="2"/>
      <c r="R115" s="2"/>
      <c r="S115" s="3"/>
      <c r="T115" s="3"/>
      <c r="U115" s="4"/>
      <c r="W115" s="6"/>
    </row>
    <row r="116" spans="1:23" ht="15" thickBot="1" x14ac:dyDescent="0.35">
      <c r="A116" s="2">
        <v>59</v>
      </c>
      <c r="B116" s="3" t="s">
        <v>15</v>
      </c>
      <c r="C116" s="2">
        <v>27.7</v>
      </c>
      <c r="D116" s="2">
        <v>3</v>
      </c>
      <c r="E116" s="3" t="s">
        <v>16</v>
      </c>
      <c r="F116" s="3" t="s">
        <v>10</v>
      </c>
      <c r="G116" s="4">
        <v>14001.13</v>
      </c>
      <c r="H116">
        <f t="shared" si="3"/>
        <v>4</v>
      </c>
      <c r="I116" s="6">
        <f t="shared" si="4"/>
        <v>3500.2824999999998</v>
      </c>
      <c r="L116" s="19"/>
      <c r="O116" s="2"/>
      <c r="P116" s="3"/>
      <c r="Q116" s="2"/>
      <c r="R116" s="2"/>
      <c r="S116" s="3"/>
      <c r="T116" s="3"/>
      <c r="U116" s="4"/>
      <c r="W116" s="6"/>
    </row>
    <row r="117" spans="1:23" ht="15" thickBot="1" x14ac:dyDescent="0.35">
      <c r="A117" s="2">
        <v>59</v>
      </c>
      <c r="B117" s="3" t="s">
        <v>14</v>
      </c>
      <c r="C117" s="2">
        <v>29.8</v>
      </c>
      <c r="D117" s="2">
        <v>3</v>
      </c>
      <c r="E117" s="3" t="s">
        <v>17</v>
      </c>
      <c r="F117" s="3" t="s">
        <v>9</v>
      </c>
      <c r="G117" s="4">
        <v>30184.94</v>
      </c>
      <c r="H117">
        <f t="shared" si="3"/>
        <v>4</v>
      </c>
      <c r="I117" s="6">
        <f t="shared" si="4"/>
        <v>7546.2349999999997</v>
      </c>
      <c r="L117" s="19"/>
      <c r="O117" s="2"/>
      <c r="P117" s="3"/>
      <c r="Q117" s="2"/>
      <c r="R117" s="2"/>
      <c r="S117" s="3"/>
      <c r="T117" s="3"/>
      <c r="U117" s="4"/>
      <c r="W117" s="6"/>
    </row>
    <row r="118" spans="1:23" ht="15" thickBot="1" x14ac:dyDescent="0.35">
      <c r="A118" s="2">
        <v>59</v>
      </c>
      <c r="B118" s="3" t="s">
        <v>15</v>
      </c>
      <c r="C118" s="2">
        <v>26.5</v>
      </c>
      <c r="D118" s="2">
        <v>0</v>
      </c>
      <c r="E118" s="3" t="s">
        <v>16</v>
      </c>
      <c r="F118" s="3" t="s">
        <v>9</v>
      </c>
      <c r="G118" s="4">
        <v>12815.44</v>
      </c>
      <c r="H118">
        <f t="shared" si="3"/>
        <v>1</v>
      </c>
      <c r="I118" s="6">
        <f t="shared" si="4"/>
        <v>12815.44</v>
      </c>
      <c r="L118" s="19"/>
      <c r="O118" s="2"/>
      <c r="P118" s="3"/>
      <c r="Q118" s="2"/>
      <c r="R118" s="2"/>
      <c r="S118" s="3"/>
      <c r="T118" s="3"/>
      <c r="U118" s="4"/>
      <c r="W118" s="6"/>
    </row>
    <row r="119" spans="1:23" ht="15" thickBot="1" x14ac:dyDescent="0.35">
      <c r="A119" s="2">
        <v>59</v>
      </c>
      <c r="B119" s="3" t="s">
        <v>14</v>
      </c>
      <c r="C119" s="2">
        <v>26.4</v>
      </c>
      <c r="D119" s="2">
        <v>0</v>
      </c>
      <c r="E119" s="3" t="s">
        <v>16</v>
      </c>
      <c r="F119" s="3" t="s">
        <v>10</v>
      </c>
      <c r="G119" s="4">
        <v>11743.3</v>
      </c>
      <c r="H119">
        <f t="shared" si="3"/>
        <v>1</v>
      </c>
      <c r="I119" s="6">
        <f t="shared" si="4"/>
        <v>11743.3</v>
      </c>
      <c r="L119" s="19"/>
      <c r="O119" s="2"/>
      <c r="P119" s="3"/>
      <c r="Q119" s="2"/>
      <c r="R119" s="2"/>
      <c r="S119" s="3"/>
      <c r="T119" s="3"/>
      <c r="U119" s="4"/>
      <c r="W119" s="6"/>
    </row>
    <row r="120" spans="1:23" ht="15" thickBot="1" x14ac:dyDescent="0.35">
      <c r="A120" s="2">
        <v>59</v>
      </c>
      <c r="B120" s="3" t="s">
        <v>15</v>
      </c>
      <c r="C120" s="2">
        <v>27.8</v>
      </c>
      <c r="D120" s="2">
        <v>3</v>
      </c>
      <c r="E120" s="3" t="s">
        <v>16</v>
      </c>
      <c r="F120" s="3" t="s">
        <v>10</v>
      </c>
      <c r="G120" s="4">
        <v>14001.29</v>
      </c>
      <c r="H120">
        <f t="shared" si="3"/>
        <v>4</v>
      </c>
      <c r="I120" s="6">
        <f t="shared" si="4"/>
        <v>3500.3225000000002</v>
      </c>
      <c r="L120" s="19"/>
      <c r="O120" s="2"/>
      <c r="P120" s="3"/>
      <c r="Q120" s="2"/>
      <c r="R120" s="2"/>
      <c r="S120" s="3"/>
      <c r="T120" s="3"/>
      <c r="U120" s="4"/>
      <c r="W120" s="6"/>
    </row>
    <row r="121" spans="1:23" ht="15" thickBot="1" x14ac:dyDescent="0.35">
      <c r="A121" s="2">
        <v>59</v>
      </c>
      <c r="B121" s="3" t="s">
        <v>14</v>
      </c>
      <c r="C121" s="2">
        <v>27.5</v>
      </c>
      <c r="D121" s="2">
        <v>1</v>
      </c>
      <c r="E121" s="3" t="s">
        <v>16</v>
      </c>
      <c r="F121" s="3" t="s">
        <v>8</v>
      </c>
      <c r="G121" s="4">
        <v>12333.83</v>
      </c>
      <c r="H121">
        <f t="shared" si="3"/>
        <v>2</v>
      </c>
      <c r="I121" s="6">
        <f t="shared" si="4"/>
        <v>6166.915</v>
      </c>
      <c r="L121" s="19"/>
      <c r="O121" s="2"/>
      <c r="P121" s="3"/>
      <c r="Q121" s="2"/>
      <c r="R121" s="2"/>
      <c r="S121" s="3"/>
      <c r="T121" s="3"/>
      <c r="U121" s="4"/>
      <c r="W121" s="6"/>
    </row>
    <row r="122" spans="1:23" ht="15" thickBot="1" x14ac:dyDescent="0.35">
      <c r="A122" s="2">
        <v>59</v>
      </c>
      <c r="B122" s="3" t="s">
        <v>15</v>
      </c>
      <c r="C122" s="2">
        <v>32.4</v>
      </c>
      <c r="D122" s="2">
        <v>3</v>
      </c>
      <c r="E122" s="3" t="s">
        <v>16</v>
      </c>
      <c r="F122" s="3" t="s">
        <v>9</v>
      </c>
      <c r="G122" s="4">
        <v>14590.63</v>
      </c>
      <c r="H122">
        <f t="shared" si="3"/>
        <v>4</v>
      </c>
      <c r="I122" s="6">
        <f t="shared" si="4"/>
        <v>3647.6574999999998</v>
      </c>
      <c r="L122" s="19"/>
      <c r="O122" s="2"/>
      <c r="P122" s="3"/>
      <c r="Q122" s="2"/>
      <c r="R122" s="2"/>
      <c r="S122" s="3"/>
      <c r="T122" s="3"/>
      <c r="U122" s="4"/>
      <c r="W122" s="6"/>
    </row>
    <row r="123" spans="1:23" ht="15" thickBot="1" x14ac:dyDescent="0.35">
      <c r="A123" s="2">
        <v>59</v>
      </c>
      <c r="B123" s="3" t="s">
        <v>14</v>
      </c>
      <c r="C123" s="2">
        <v>31.8</v>
      </c>
      <c r="D123" s="2">
        <v>2</v>
      </c>
      <c r="E123" s="3" t="s">
        <v>16</v>
      </c>
      <c r="F123" s="3" t="s">
        <v>10</v>
      </c>
      <c r="G123" s="4">
        <v>12928.79</v>
      </c>
      <c r="H123">
        <f t="shared" si="3"/>
        <v>3</v>
      </c>
      <c r="I123" s="6">
        <f t="shared" si="4"/>
        <v>4309.5966666666673</v>
      </c>
      <c r="L123" s="19"/>
      <c r="O123" s="2"/>
      <c r="P123" s="3"/>
      <c r="Q123" s="2"/>
      <c r="R123" s="2"/>
      <c r="S123" s="3"/>
      <c r="T123" s="3"/>
      <c r="U123" s="4"/>
      <c r="W123" s="6"/>
    </row>
    <row r="124" spans="1:23" ht="15" thickBot="1" x14ac:dyDescent="0.35">
      <c r="A124" s="2">
        <v>59</v>
      </c>
      <c r="B124" s="3" t="s">
        <v>15</v>
      </c>
      <c r="C124" s="2">
        <v>36.799999999999997</v>
      </c>
      <c r="D124" s="2">
        <v>1</v>
      </c>
      <c r="E124" s="3" t="s">
        <v>17</v>
      </c>
      <c r="F124" s="3" t="s">
        <v>9</v>
      </c>
      <c r="G124" s="4">
        <v>47896.79</v>
      </c>
      <c r="H124">
        <f t="shared" si="3"/>
        <v>2</v>
      </c>
      <c r="I124" s="6">
        <f t="shared" si="4"/>
        <v>23948.395</v>
      </c>
      <c r="L124" s="19"/>
      <c r="O124" s="2"/>
      <c r="P124" s="3"/>
      <c r="Q124" s="2"/>
      <c r="R124" s="2"/>
      <c r="S124" s="3"/>
      <c r="T124" s="3"/>
      <c r="U124" s="4"/>
      <c r="W124" s="6"/>
    </row>
    <row r="125" spans="1:23" ht="15" thickBot="1" x14ac:dyDescent="0.35">
      <c r="A125" s="2">
        <v>59</v>
      </c>
      <c r="B125" s="3" t="s">
        <v>15</v>
      </c>
      <c r="C125" s="2">
        <v>36.5</v>
      </c>
      <c r="D125" s="2">
        <v>1</v>
      </c>
      <c r="E125" s="3" t="s">
        <v>16</v>
      </c>
      <c r="F125" s="3" t="s">
        <v>10</v>
      </c>
      <c r="G125" s="4">
        <v>28287.9</v>
      </c>
      <c r="H125">
        <f t="shared" si="3"/>
        <v>2</v>
      </c>
      <c r="I125" s="6">
        <f t="shared" si="4"/>
        <v>14143.95</v>
      </c>
      <c r="L125" s="19"/>
      <c r="O125" s="2"/>
      <c r="P125" s="3"/>
      <c r="Q125" s="2"/>
      <c r="R125" s="2"/>
      <c r="S125" s="3"/>
      <c r="T125" s="3"/>
      <c r="U125" s="4"/>
      <c r="W125" s="6"/>
    </row>
    <row r="126" spans="1:23" ht="15" thickBot="1" x14ac:dyDescent="0.35">
      <c r="A126" s="2">
        <v>59</v>
      </c>
      <c r="B126" s="3" t="s">
        <v>14</v>
      </c>
      <c r="C126" s="2">
        <v>37.4</v>
      </c>
      <c r="D126" s="2">
        <v>0</v>
      </c>
      <c r="E126" s="3" t="s">
        <v>16</v>
      </c>
      <c r="F126" s="3" t="s">
        <v>8</v>
      </c>
      <c r="G126" s="4">
        <v>21797</v>
      </c>
      <c r="H126">
        <f t="shared" si="3"/>
        <v>1</v>
      </c>
      <c r="I126" s="6">
        <f t="shared" si="4"/>
        <v>21797</v>
      </c>
      <c r="L126" s="19"/>
      <c r="O126" s="2"/>
      <c r="P126" s="3"/>
      <c r="Q126" s="2"/>
      <c r="R126" s="2"/>
      <c r="S126" s="3"/>
      <c r="T126" s="3"/>
      <c r="U126" s="4"/>
      <c r="W126" s="6"/>
    </row>
    <row r="127" spans="1:23" ht="15" thickBot="1" x14ac:dyDescent="0.35">
      <c r="A127" s="2">
        <v>59</v>
      </c>
      <c r="B127" s="3" t="s">
        <v>14</v>
      </c>
      <c r="C127" s="2">
        <v>29.7</v>
      </c>
      <c r="D127" s="2">
        <v>2</v>
      </c>
      <c r="E127" s="3" t="s">
        <v>16</v>
      </c>
      <c r="F127" s="3" t="s">
        <v>10</v>
      </c>
      <c r="G127" s="4">
        <v>12925.89</v>
      </c>
      <c r="H127">
        <f t="shared" si="3"/>
        <v>3</v>
      </c>
      <c r="I127" s="6">
        <f t="shared" si="4"/>
        <v>4308.63</v>
      </c>
      <c r="L127" s="19"/>
      <c r="O127" s="2"/>
      <c r="P127" s="3"/>
      <c r="Q127" s="2"/>
      <c r="R127" s="2"/>
      <c r="S127" s="3"/>
      <c r="T127" s="3"/>
      <c r="U127" s="4"/>
      <c r="W127" s="6"/>
    </row>
    <row r="128" spans="1:23" ht="15" thickBot="1" x14ac:dyDescent="0.35">
      <c r="A128" s="2">
        <v>59</v>
      </c>
      <c r="B128" s="3" t="s">
        <v>14</v>
      </c>
      <c r="C128" s="2">
        <v>25.5</v>
      </c>
      <c r="D128" s="2">
        <v>1</v>
      </c>
      <c r="E128" s="3" t="s">
        <v>16</v>
      </c>
      <c r="F128" s="3" t="s">
        <v>9</v>
      </c>
      <c r="G128" s="4">
        <v>12913.99</v>
      </c>
      <c r="H128">
        <f t="shared" si="3"/>
        <v>2</v>
      </c>
      <c r="I128" s="6">
        <f t="shared" si="4"/>
        <v>6456.9949999999999</v>
      </c>
      <c r="L128" s="19"/>
      <c r="O128" s="2"/>
      <c r="P128" s="3"/>
      <c r="Q128" s="2"/>
      <c r="R128" s="2"/>
      <c r="S128" s="3"/>
      <c r="T128" s="3"/>
      <c r="U128" s="4"/>
      <c r="W128" s="6"/>
    </row>
    <row r="129" spans="1:23" ht="15" thickBot="1" x14ac:dyDescent="0.35">
      <c r="A129" s="2">
        <v>59</v>
      </c>
      <c r="B129" s="3" t="s">
        <v>15</v>
      </c>
      <c r="C129" s="2">
        <v>23.7</v>
      </c>
      <c r="D129" s="2">
        <v>0</v>
      </c>
      <c r="E129" s="3" t="s">
        <v>17</v>
      </c>
      <c r="F129" s="3" t="s">
        <v>7</v>
      </c>
      <c r="G129" s="4">
        <v>25678.78</v>
      </c>
      <c r="H129">
        <f t="shared" si="3"/>
        <v>1</v>
      </c>
      <c r="I129" s="6">
        <f t="shared" si="4"/>
        <v>25678.78</v>
      </c>
      <c r="L129" s="19"/>
      <c r="O129" s="2"/>
      <c r="P129" s="3"/>
      <c r="Q129" s="2"/>
      <c r="R129" s="2"/>
      <c r="S129" s="3"/>
      <c r="T129" s="3"/>
      <c r="U129" s="4"/>
      <c r="W129" s="6"/>
    </row>
    <row r="130" spans="1:23" ht="15" thickBot="1" x14ac:dyDescent="0.35">
      <c r="A130" s="2">
        <v>59</v>
      </c>
      <c r="B130" s="3" t="s">
        <v>14</v>
      </c>
      <c r="C130" s="2">
        <v>28.8</v>
      </c>
      <c r="D130" s="2">
        <v>0</v>
      </c>
      <c r="E130" s="3" t="s">
        <v>16</v>
      </c>
      <c r="F130" s="3" t="s">
        <v>7</v>
      </c>
      <c r="G130" s="4">
        <v>12129.61</v>
      </c>
      <c r="H130">
        <f t="shared" si="3"/>
        <v>1</v>
      </c>
      <c r="I130" s="6">
        <f t="shared" si="4"/>
        <v>12129.61</v>
      </c>
      <c r="L130" s="19"/>
      <c r="O130" s="2"/>
      <c r="P130" s="3"/>
      <c r="Q130" s="2"/>
      <c r="R130" s="2"/>
      <c r="S130" s="3"/>
      <c r="T130" s="3"/>
      <c r="U130" s="4"/>
      <c r="W130" s="6"/>
    </row>
    <row r="131" spans="1:23" ht="15" thickBot="1" x14ac:dyDescent="0.35">
      <c r="A131" s="2">
        <v>59</v>
      </c>
      <c r="B131" s="3" t="s">
        <v>15</v>
      </c>
      <c r="C131" s="2">
        <v>35.200000000000003</v>
      </c>
      <c r="D131" s="2">
        <v>0</v>
      </c>
      <c r="E131" s="3" t="s">
        <v>16</v>
      </c>
      <c r="F131" s="3" t="s">
        <v>10</v>
      </c>
      <c r="G131" s="4">
        <v>12244.53</v>
      </c>
      <c r="H131">
        <f t="shared" ref="H131:H194" si="5">D131+1</f>
        <v>1</v>
      </c>
      <c r="I131" s="6">
        <f t="shared" ref="I131:I194" si="6">G131/H131</f>
        <v>12244.53</v>
      </c>
      <c r="L131" s="19"/>
      <c r="O131" s="2"/>
      <c r="P131" s="3"/>
      <c r="Q131" s="2"/>
      <c r="R131" s="2"/>
      <c r="S131" s="3"/>
      <c r="T131" s="3"/>
      <c r="U131" s="4"/>
      <c r="W131" s="6"/>
    </row>
    <row r="132" spans="1:23" ht="15" thickBot="1" x14ac:dyDescent="0.35">
      <c r="A132" s="2">
        <v>59</v>
      </c>
      <c r="B132" s="3" t="s">
        <v>15</v>
      </c>
      <c r="C132" s="2">
        <v>32.1</v>
      </c>
      <c r="D132" s="2">
        <v>3</v>
      </c>
      <c r="E132" s="3" t="s">
        <v>16</v>
      </c>
      <c r="F132" s="3" t="s">
        <v>8</v>
      </c>
      <c r="G132" s="4">
        <v>14007.22</v>
      </c>
      <c r="H132">
        <f t="shared" si="5"/>
        <v>4</v>
      </c>
      <c r="I132" s="6">
        <f t="shared" si="6"/>
        <v>3501.8049999999998</v>
      </c>
      <c r="L132" s="19"/>
      <c r="O132" s="2"/>
      <c r="P132" s="3"/>
      <c r="Q132" s="2"/>
      <c r="R132" s="2"/>
      <c r="S132" s="3"/>
      <c r="T132" s="3"/>
      <c r="U132" s="4"/>
      <c r="W132" s="6"/>
    </row>
    <row r="133" spans="1:23" ht="15" thickBot="1" x14ac:dyDescent="0.35">
      <c r="A133" s="2">
        <v>59</v>
      </c>
      <c r="B133" s="3" t="s">
        <v>15</v>
      </c>
      <c r="C133" s="2">
        <v>31.4</v>
      </c>
      <c r="D133" s="2">
        <v>0</v>
      </c>
      <c r="E133" s="3" t="s">
        <v>16</v>
      </c>
      <c r="F133" s="3" t="s">
        <v>7</v>
      </c>
      <c r="G133" s="4">
        <v>12622.18</v>
      </c>
      <c r="H133">
        <f t="shared" si="5"/>
        <v>1</v>
      </c>
      <c r="I133" s="6">
        <f t="shared" si="6"/>
        <v>12622.18</v>
      </c>
      <c r="L133" s="19"/>
      <c r="O133" s="2"/>
      <c r="P133" s="3"/>
      <c r="Q133" s="2"/>
      <c r="R133" s="2"/>
      <c r="S133" s="3"/>
      <c r="T133" s="3"/>
      <c r="U133" s="4"/>
      <c r="W133" s="6"/>
    </row>
    <row r="134" spans="1:23" ht="15" thickBot="1" x14ac:dyDescent="0.35">
      <c r="A134" s="2">
        <v>59</v>
      </c>
      <c r="B134" s="3" t="s">
        <v>14</v>
      </c>
      <c r="C134" s="2">
        <v>24.7</v>
      </c>
      <c r="D134" s="2">
        <v>0</v>
      </c>
      <c r="E134" s="3" t="s">
        <v>16</v>
      </c>
      <c r="F134" s="3" t="s">
        <v>9</v>
      </c>
      <c r="G134" s="4">
        <v>12323.94</v>
      </c>
      <c r="H134">
        <f t="shared" si="5"/>
        <v>1</v>
      </c>
      <c r="I134" s="6">
        <f t="shared" si="6"/>
        <v>12323.94</v>
      </c>
      <c r="L134" s="19"/>
      <c r="O134" s="2"/>
      <c r="P134" s="3"/>
      <c r="Q134" s="2"/>
      <c r="R134" s="2"/>
      <c r="S134" s="3"/>
      <c r="T134" s="3"/>
      <c r="U134" s="4"/>
      <c r="W134" s="6"/>
    </row>
    <row r="135" spans="1:23" ht="15" thickBot="1" x14ac:dyDescent="0.35">
      <c r="A135" s="2">
        <v>59</v>
      </c>
      <c r="B135" s="3" t="s">
        <v>15</v>
      </c>
      <c r="C135" s="2">
        <v>26.7</v>
      </c>
      <c r="D135" s="2">
        <v>3</v>
      </c>
      <c r="E135" s="3" t="s">
        <v>16</v>
      </c>
      <c r="F135" s="3" t="s">
        <v>7</v>
      </c>
      <c r="G135" s="4">
        <v>14382.71</v>
      </c>
      <c r="H135">
        <f t="shared" si="5"/>
        <v>4</v>
      </c>
      <c r="I135" s="6">
        <f t="shared" si="6"/>
        <v>3595.6774999999998</v>
      </c>
      <c r="L135" s="19"/>
      <c r="O135" s="2"/>
      <c r="P135" s="3"/>
      <c r="Q135" s="2"/>
      <c r="R135" s="2"/>
      <c r="S135" s="3"/>
      <c r="T135" s="3"/>
      <c r="U135" s="4"/>
      <c r="W135" s="6"/>
    </row>
    <row r="136" spans="1:23" ht="15" thickBot="1" x14ac:dyDescent="0.35">
      <c r="A136" s="2">
        <v>59</v>
      </c>
      <c r="B136" s="3" t="s">
        <v>15</v>
      </c>
      <c r="C136" s="2">
        <v>27.5</v>
      </c>
      <c r="D136" s="2">
        <v>0</v>
      </c>
      <c r="E136" s="3" t="s">
        <v>16</v>
      </c>
      <c r="F136" s="3" t="s">
        <v>8</v>
      </c>
      <c r="G136" s="4">
        <v>12233.83</v>
      </c>
      <c r="H136">
        <f t="shared" si="5"/>
        <v>1</v>
      </c>
      <c r="I136" s="6">
        <f t="shared" si="6"/>
        <v>12233.83</v>
      </c>
      <c r="L136" s="19"/>
      <c r="O136" s="2"/>
      <c r="P136" s="3"/>
      <c r="Q136" s="2"/>
      <c r="R136" s="2"/>
      <c r="S136" s="3"/>
      <c r="T136" s="3"/>
      <c r="U136" s="4"/>
      <c r="W136" s="6"/>
    </row>
    <row r="137" spans="1:23" ht="15" thickBot="1" x14ac:dyDescent="0.35">
      <c r="A137" s="2">
        <v>59</v>
      </c>
      <c r="B137" s="3" t="s">
        <v>14</v>
      </c>
      <c r="C137" s="2">
        <v>25.5</v>
      </c>
      <c r="D137" s="2">
        <v>0</v>
      </c>
      <c r="E137" s="3" t="s">
        <v>16</v>
      </c>
      <c r="F137" s="3" t="s">
        <v>7</v>
      </c>
      <c r="G137" s="4">
        <v>12124.99</v>
      </c>
      <c r="H137">
        <f t="shared" si="5"/>
        <v>1</v>
      </c>
      <c r="I137" s="6">
        <f t="shared" si="6"/>
        <v>12124.99</v>
      </c>
      <c r="L137" s="19"/>
      <c r="O137" s="2"/>
      <c r="P137" s="3"/>
      <c r="Q137" s="2"/>
      <c r="R137" s="2"/>
      <c r="S137" s="3"/>
      <c r="T137" s="3"/>
      <c r="U137" s="4"/>
      <c r="W137" s="6"/>
    </row>
    <row r="138" spans="1:23" ht="15" thickBot="1" x14ac:dyDescent="0.35">
      <c r="A138" s="2">
        <v>59</v>
      </c>
      <c r="B138" s="3" t="s">
        <v>14</v>
      </c>
      <c r="C138" s="2">
        <v>41.1</v>
      </c>
      <c r="D138" s="2">
        <v>1</v>
      </c>
      <c r="E138" s="3" t="s">
        <v>17</v>
      </c>
      <c r="F138" s="3" t="s">
        <v>10</v>
      </c>
      <c r="G138" s="4">
        <v>48970.25</v>
      </c>
      <c r="H138">
        <f t="shared" si="5"/>
        <v>2</v>
      </c>
      <c r="I138" s="6">
        <f t="shared" si="6"/>
        <v>24485.125</v>
      </c>
      <c r="L138" s="19"/>
      <c r="O138" s="2"/>
      <c r="P138" s="3"/>
      <c r="Q138" s="2"/>
      <c r="R138" s="2"/>
      <c r="S138" s="3"/>
      <c r="T138" s="3"/>
      <c r="U138" s="4"/>
      <c r="W138" s="6"/>
    </row>
    <row r="139" spans="1:23" ht="15" thickBot="1" x14ac:dyDescent="0.35">
      <c r="A139" s="2">
        <v>59</v>
      </c>
      <c r="B139" s="3" t="s">
        <v>15</v>
      </c>
      <c r="C139" s="2">
        <v>34.799999999999997</v>
      </c>
      <c r="D139" s="2">
        <v>2</v>
      </c>
      <c r="E139" s="3" t="s">
        <v>16</v>
      </c>
      <c r="F139" s="3" t="s">
        <v>8</v>
      </c>
      <c r="G139" s="4">
        <v>36910.61</v>
      </c>
      <c r="H139">
        <f t="shared" si="5"/>
        <v>3</v>
      </c>
      <c r="I139" s="6">
        <f t="shared" si="6"/>
        <v>12303.536666666667</v>
      </c>
      <c r="L139" s="19"/>
      <c r="O139" s="2"/>
      <c r="P139" s="3"/>
      <c r="Q139" s="2"/>
      <c r="R139" s="2"/>
      <c r="S139" s="3"/>
      <c r="T139" s="3"/>
      <c r="U139" s="4"/>
      <c r="W139" s="6"/>
    </row>
    <row r="140" spans="1:23" ht="15" thickBot="1" x14ac:dyDescent="0.35">
      <c r="A140" s="2">
        <v>59</v>
      </c>
      <c r="B140" s="3" t="s">
        <v>14</v>
      </c>
      <c r="C140" s="2">
        <v>37.1</v>
      </c>
      <c r="D140" s="2">
        <v>1</v>
      </c>
      <c r="E140" s="3" t="s">
        <v>16</v>
      </c>
      <c r="F140" s="3" t="s">
        <v>8</v>
      </c>
      <c r="G140" s="4">
        <v>12347.17</v>
      </c>
      <c r="H140">
        <f t="shared" si="5"/>
        <v>2</v>
      </c>
      <c r="I140" s="6">
        <f t="shared" si="6"/>
        <v>6173.585</v>
      </c>
      <c r="L140" s="19"/>
      <c r="O140" s="2"/>
      <c r="P140" s="3"/>
      <c r="Q140" s="2"/>
      <c r="R140" s="2"/>
      <c r="S140" s="3"/>
      <c r="T140" s="3"/>
      <c r="U140" s="4"/>
      <c r="W140" s="6"/>
    </row>
    <row r="141" spans="1:23" ht="15" thickBot="1" x14ac:dyDescent="0.35">
      <c r="A141" s="2">
        <v>58</v>
      </c>
      <c r="B141" s="3" t="s">
        <v>14</v>
      </c>
      <c r="C141" s="2">
        <v>37</v>
      </c>
      <c r="D141" s="2">
        <v>2</v>
      </c>
      <c r="E141" s="3" t="s">
        <v>17</v>
      </c>
      <c r="F141" s="3" t="s">
        <v>7</v>
      </c>
      <c r="G141" s="4">
        <v>47496.49</v>
      </c>
      <c r="H141">
        <f t="shared" si="5"/>
        <v>3</v>
      </c>
      <c r="I141" s="6">
        <f t="shared" si="6"/>
        <v>15832.163333333332</v>
      </c>
      <c r="L141" s="19"/>
      <c r="O141" s="2"/>
      <c r="P141" s="3"/>
      <c r="Q141" s="2"/>
      <c r="R141" s="2"/>
      <c r="S141" s="3"/>
      <c r="T141" s="3"/>
      <c r="U141" s="4"/>
      <c r="W141" s="6"/>
    </row>
    <row r="142" spans="1:23" ht="15" thickBot="1" x14ac:dyDescent="0.35">
      <c r="A142" s="2">
        <v>58</v>
      </c>
      <c r="B142" s="3" t="s">
        <v>15</v>
      </c>
      <c r="C142" s="2">
        <v>31.8</v>
      </c>
      <c r="D142" s="2">
        <v>2</v>
      </c>
      <c r="E142" s="3" t="s">
        <v>16</v>
      </c>
      <c r="F142" s="3" t="s">
        <v>9</v>
      </c>
      <c r="G142" s="4">
        <v>13607.37</v>
      </c>
      <c r="H142">
        <f t="shared" si="5"/>
        <v>3</v>
      </c>
      <c r="I142" s="6">
        <f t="shared" si="6"/>
        <v>4535.79</v>
      </c>
      <c r="L142" s="19"/>
      <c r="O142" s="2"/>
      <c r="P142" s="3"/>
      <c r="Q142" s="2"/>
      <c r="R142" s="2"/>
      <c r="S142" s="3"/>
      <c r="T142" s="3"/>
      <c r="U142" s="4"/>
      <c r="W142" s="6"/>
    </row>
    <row r="143" spans="1:23" ht="15" thickBot="1" x14ac:dyDescent="0.35">
      <c r="A143" s="2">
        <v>58</v>
      </c>
      <c r="B143" s="3" t="s">
        <v>14</v>
      </c>
      <c r="C143" s="2">
        <v>32</v>
      </c>
      <c r="D143" s="2">
        <v>1</v>
      </c>
      <c r="E143" s="3" t="s">
        <v>16</v>
      </c>
      <c r="F143" s="3" t="s">
        <v>10</v>
      </c>
      <c r="G143" s="4">
        <v>11946.63</v>
      </c>
      <c r="H143">
        <f t="shared" si="5"/>
        <v>2</v>
      </c>
      <c r="I143" s="6">
        <f t="shared" si="6"/>
        <v>5973.3149999999996</v>
      </c>
      <c r="L143" s="19"/>
      <c r="O143" s="2"/>
      <c r="P143" s="3"/>
      <c r="Q143" s="2"/>
      <c r="R143" s="2"/>
      <c r="S143" s="3"/>
      <c r="T143" s="3"/>
      <c r="U143" s="4"/>
      <c r="W143" s="6"/>
    </row>
    <row r="144" spans="1:23" ht="15" thickBot="1" x14ac:dyDescent="0.35">
      <c r="A144" s="2">
        <v>58</v>
      </c>
      <c r="B144" s="3" t="s">
        <v>14</v>
      </c>
      <c r="C144" s="2">
        <v>49.1</v>
      </c>
      <c r="D144" s="2">
        <v>0</v>
      </c>
      <c r="E144" s="3" t="s">
        <v>16</v>
      </c>
      <c r="F144" s="3" t="s">
        <v>10</v>
      </c>
      <c r="G144" s="4">
        <v>11381.33</v>
      </c>
      <c r="H144">
        <f t="shared" si="5"/>
        <v>1</v>
      </c>
      <c r="I144" s="6">
        <f t="shared" si="6"/>
        <v>11381.33</v>
      </c>
      <c r="L144" s="19"/>
      <c r="O144" s="2"/>
      <c r="P144" s="3"/>
      <c r="Q144" s="2"/>
      <c r="R144" s="2"/>
      <c r="S144" s="3"/>
      <c r="T144" s="3"/>
      <c r="U144" s="4"/>
      <c r="W144" s="6"/>
    </row>
    <row r="145" spans="1:23" ht="15" thickBot="1" x14ac:dyDescent="0.35">
      <c r="A145" s="2">
        <v>58</v>
      </c>
      <c r="B145" s="3" t="s">
        <v>14</v>
      </c>
      <c r="C145" s="2">
        <v>28.6</v>
      </c>
      <c r="D145" s="2">
        <v>0</v>
      </c>
      <c r="E145" s="3" t="s">
        <v>16</v>
      </c>
      <c r="F145" s="3" t="s">
        <v>7</v>
      </c>
      <c r="G145" s="4">
        <v>11735.88</v>
      </c>
      <c r="H145">
        <f t="shared" si="5"/>
        <v>1</v>
      </c>
      <c r="I145" s="6">
        <f t="shared" si="6"/>
        <v>11735.88</v>
      </c>
      <c r="L145" s="19"/>
      <c r="O145" s="2"/>
      <c r="P145" s="3"/>
      <c r="Q145" s="2"/>
      <c r="R145" s="2"/>
      <c r="S145" s="3"/>
      <c r="T145" s="3"/>
      <c r="U145" s="4"/>
      <c r="W145" s="6"/>
    </row>
    <row r="146" spans="1:23" ht="15" thickBot="1" x14ac:dyDescent="0.35">
      <c r="A146" s="2">
        <v>58</v>
      </c>
      <c r="B146" s="3" t="s">
        <v>15</v>
      </c>
      <c r="C146" s="2">
        <v>41.9</v>
      </c>
      <c r="D146" s="2">
        <v>0</v>
      </c>
      <c r="E146" s="3" t="s">
        <v>16</v>
      </c>
      <c r="F146" s="3" t="s">
        <v>10</v>
      </c>
      <c r="G146" s="4">
        <v>24227.34</v>
      </c>
      <c r="H146">
        <f t="shared" si="5"/>
        <v>1</v>
      </c>
      <c r="I146" s="6">
        <f t="shared" si="6"/>
        <v>24227.34</v>
      </c>
      <c r="L146" s="19"/>
      <c r="O146" s="2"/>
      <c r="P146" s="3"/>
      <c r="Q146" s="2"/>
      <c r="R146" s="2"/>
      <c r="S146" s="3"/>
      <c r="T146" s="3"/>
      <c r="U146" s="4"/>
      <c r="W146" s="6"/>
    </row>
    <row r="147" spans="1:23" ht="15" thickBot="1" x14ac:dyDescent="0.35">
      <c r="A147" s="2">
        <v>58</v>
      </c>
      <c r="B147" s="3" t="s">
        <v>15</v>
      </c>
      <c r="C147" s="2">
        <v>25.2</v>
      </c>
      <c r="D147" s="2">
        <v>0</v>
      </c>
      <c r="E147" s="3" t="s">
        <v>16</v>
      </c>
      <c r="F147" s="3" t="s">
        <v>8</v>
      </c>
      <c r="G147" s="4">
        <v>11837.16</v>
      </c>
      <c r="H147">
        <f t="shared" si="5"/>
        <v>1</v>
      </c>
      <c r="I147" s="6">
        <f t="shared" si="6"/>
        <v>11837.16</v>
      </c>
      <c r="L147" s="19"/>
      <c r="O147" s="2"/>
      <c r="P147" s="3"/>
      <c r="Q147" s="2"/>
      <c r="R147" s="2"/>
      <c r="S147" s="3"/>
      <c r="T147" s="3"/>
      <c r="U147" s="4"/>
      <c r="W147" s="6"/>
    </row>
    <row r="148" spans="1:23" ht="15" thickBot="1" x14ac:dyDescent="0.35">
      <c r="A148" s="2">
        <v>58</v>
      </c>
      <c r="B148" s="3" t="s">
        <v>14</v>
      </c>
      <c r="C148" s="2">
        <v>34.9</v>
      </c>
      <c r="D148" s="2">
        <v>0</v>
      </c>
      <c r="E148" s="3" t="s">
        <v>16</v>
      </c>
      <c r="F148" s="3" t="s">
        <v>9</v>
      </c>
      <c r="G148" s="4">
        <v>11944.59</v>
      </c>
      <c r="H148">
        <f t="shared" si="5"/>
        <v>1</v>
      </c>
      <c r="I148" s="6">
        <f t="shared" si="6"/>
        <v>11944.59</v>
      </c>
      <c r="L148" s="19"/>
      <c r="O148" s="2"/>
      <c r="P148" s="3"/>
      <c r="Q148" s="2"/>
      <c r="R148" s="2"/>
      <c r="S148" s="3"/>
      <c r="T148" s="3"/>
      <c r="U148" s="4"/>
      <c r="W148" s="6"/>
    </row>
    <row r="149" spans="1:23" ht="15" thickBot="1" x14ac:dyDescent="0.35">
      <c r="A149" s="2">
        <v>58</v>
      </c>
      <c r="B149" s="3" t="s">
        <v>15</v>
      </c>
      <c r="C149" s="2">
        <v>39.1</v>
      </c>
      <c r="D149" s="2">
        <v>0</v>
      </c>
      <c r="E149" s="3" t="s">
        <v>16</v>
      </c>
      <c r="F149" s="3" t="s">
        <v>10</v>
      </c>
      <c r="G149" s="4">
        <v>11856.41</v>
      </c>
      <c r="H149">
        <f t="shared" si="5"/>
        <v>1</v>
      </c>
      <c r="I149" s="6">
        <f t="shared" si="6"/>
        <v>11856.41</v>
      </c>
      <c r="L149" s="19"/>
      <c r="O149" s="2"/>
      <c r="P149" s="3"/>
      <c r="Q149" s="2"/>
      <c r="R149" s="2"/>
      <c r="S149" s="3"/>
      <c r="T149" s="3"/>
      <c r="U149" s="4"/>
      <c r="W149" s="6"/>
    </row>
    <row r="150" spans="1:23" ht="15" thickBot="1" x14ac:dyDescent="0.35">
      <c r="A150" s="2">
        <v>58</v>
      </c>
      <c r="B150" s="3" t="s">
        <v>14</v>
      </c>
      <c r="C150" s="2">
        <v>35.700000000000003</v>
      </c>
      <c r="D150" s="2">
        <v>0</v>
      </c>
      <c r="E150" s="3" t="s">
        <v>16</v>
      </c>
      <c r="F150" s="3" t="s">
        <v>8</v>
      </c>
      <c r="G150" s="4">
        <v>11362.76</v>
      </c>
      <c r="H150">
        <f t="shared" si="5"/>
        <v>1</v>
      </c>
      <c r="I150" s="6">
        <f t="shared" si="6"/>
        <v>11362.76</v>
      </c>
      <c r="L150" s="19"/>
      <c r="O150" s="2"/>
      <c r="P150" s="3"/>
      <c r="Q150" s="2"/>
      <c r="R150" s="2"/>
      <c r="S150" s="3"/>
      <c r="T150" s="3"/>
      <c r="U150" s="4"/>
      <c r="W150" s="6"/>
    </row>
    <row r="151" spans="1:23" ht="15" thickBot="1" x14ac:dyDescent="0.35">
      <c r="A151" s="2">
        <v>58</v>
      </c>
      <c r="B151" s="3" t="s">
        <v>15</v>
      </c>
      <c r="C151" s="2">
        <v>27.2</v>
      </c>
      <c r="D151" s="2">
        <v>0</v>
      </c>
      <c r="E151" s="3" t="s">
        <v>16</v>
      </c>
      <c r="F151" s="3" t="s">
        <v>7</v>
      </c>
      <c r="G151" s="4">
        <v>12222.9</v>
      </c>
      <c r="H151">
        <f t="shared" si="5"/>
        <v>1</v>
      </c>
      <c r="I151" s="6">
        <f t="shared" si="6"/>
        <v>12222.9</v>
      </c>
      <c r="L151" s="19"/>
      <c r="O151" s="2"/>
      <c r="P151" s="3"/>
      <c r="Q151" s="2"/>
      <c r="R151" s="2"/>
      <c r="S151" s="3"/>
      <c r="T151" s="3"/>
      <c r="U151" s="4"/>
      <c r="W151" s="6"/>
    </row>
    <row r="152" spans="1:23" ht="15" thickBot="1" x14ac:dyDescent="0.35">
      <c r="A152" s="2">
        <v>58</v>
      </c>
      <c r="B152" s="3" t="s">
        <v>15</v>
      </c>
      <c r="C152" s="2">
        <v>29</v>
      </c>
      <c r="D152" s="2">
        <v>0</v>
      </c>
      <c r="E152" s="3" t="s">
        <v>16</v>
      </c>
      <c r="F152" s="3" t="s">
        <v>8</v>
      </c>
      <c r="G152" s="4">
        <v>11842.44</v>
      </c>
      <c r="H152">
        <f t="shared" si="5"/>
        <v>1</v>
      </c>
      <c r="I152" s="6">
        <f t="shared" si="6"/>
        <v>11842.44</v>
      </c>
      <c r="L152" s="19"/>
      <c r="O152" s="2"/>
      <c r="P152" s="3"/>
      <c r="Q152" s="2"/>
      <c r="R152" s="2"/>
      <c r="S152" s="3"/>
      <c r="T152" s="3"/>
      <c r="U152" s="4"/>
      <c r="W152" s="6"/>
    </row>
    <row r="153" spans="1:23" ht="15" thickBot="1" x14ac:dyDescent="0.35">
      <c r="A153" s="2">
        <v>58</v>
      </c>
      <c r="B153" s="3" t="s">
        <v>14</v>
      </c>
      <c r="C153" s="2">
        <v>38</v>
      </c>
      <c r="D153" s="2">
        <v>0</v>
      </c>
      <c r="E153" s="3" t="s">
        <v>16</v>
      </c>
      <c r="F153" s="3" t="s">
        <v>8</v>
      </c>
      <c r="G153" s="4">
        <v>11365.95</v>
      </c>
      <c r="H153">
        <f t="shared" si="5"/>
        <v>1</v>
      </c>
      <c r="I153" s="6">
        <f t="shared" si="6"/>
        <v>11365.95</v>
      </c>
      <c r="L153" s="19"/>
      <c r="O153" s="2"/>
      <c r="P153" s="3"/>
      <c r="Q153" s="2"/>
      <c r="R153" s="2"/>
      <c r="S153" s="3"/>
      <c r="T153" s="3"/>
      <c r="U153" s="4"/>
      <c r="W153" s="6"/>
    </row>
    <row r="154" spans="1:23" ht="15" thickBot="1" x14ac:dyDescent="0.35">
      <c r="A154" s="2">
        <v>58</v>
      </c>
      <c r="B154" s="3" t="s">
        <v>15</v>
      </c>
      <c r="C154" s="2">
        <v>33</v>
      </c>
      <c r="D154" s="2">
        <v>0</v>
      </c>
      <c r="E154" s="3" t="s">
        <v>16</v>
      </c>
      <c r="F154" s="3" t="s">
        <v>9</v>
      </c>
      <c r="G154" s="4">
        <v>12430.95</v>
      </c>
      <c r="H154">
        <f t="shared" si="5"/>
        <v>1</v>
      </c>
      <c r="I154" s="6">
        <f t="shared" si="6"/>
        <v>12430.95</v>
      </c>
      <c r="L154" s="19"/>
      <c r="O154" s="2"/>
      <c r="P154" s="3"/>
      <c r="Q154" s="2"/>
      <c r="R154" s="2"/>
      <c r="S154" s="3"/>
      <c r="T154" s="3"/>
      <c r="U154" s="4"/>
      <c r="W154" s="6"/>
    </row>
    <row r="155" spans="1:23" ht="15" thickBot="1" x14ac:dyDescent="0.35">
      <c r="A155" s="2">
        <v>58</v>
      </c>
      <c r="B155" s="3" t="s">
        <v>15</v>
      </c>
      <c r="C155" s="2">
        <v>33.4</v>
      </c>
      <c r="D155" s="2">
        <v>0</v>
      </c>
      <c r="E155" s="3" t="s">
        <v>16</v>
      </c>
      <c r="F155" s="3" t="s">
        <v>7</v>
      </c>
      <c r="G155" s="4">
        <v>12231.61</v>
      </c>
      <c r="H155">
        <f t="shared" si="5"/>
        <v>1</v>
      </c>
      <c r="I155" s="6">
        <f t="shared" si="6"/>
        <v>12231.61</v>
      </c>
      <c r="L155" s="19"/>
      <c r="O155" s="2"/>
      <c r="P155" s="3"/>
      <c r="Q155" s="2"/>
      <c r="R155" s="2"/>
      <c r="S155" s="3"/>
      <c r="T155" s="3"/>
      <c r="U155" s="4"/>
      <c r="W155" s="6"/>
    </row>
    <row r="156" spans="1:23" ht="15" thickBot="1" x14ac:dyDescent="0.35">
      <c r="A156" s="2">
        <v>58</v>
      </c>
      <c r="B156" s="3" t="s">
        <v>15</v>
      </c>
      <c r="C156" s="2">
        <v>22.8</v>
      </c>
      <c r="D156" s="2">
        <v>0</v>
      </c>
      <c r="E156" s="3" t="s">
        <v>16</v>
      </c>
      <c r="F156" s="3" t="s">
        <v>10</v>
      </c>
      <c r="G156" s="4">
        <v>11833.78</v>
      </c>
      <c r="H156">
        <f t="shared" si="5"/>
        <v>1</v>
      </c>
      <c r="I156" s="6">
        <f t="shared" si="6"/>
        <v>11833.78</v>
      </c>
      <c r="L156" s="19"/>
      <c r="O156" s="2"/>
      <c r="P156" s="3"/>
      <c r="Q156" s="2"/>
      <c r="R156" s="2"/>
      <c r="S156" s="3"/>
      <c r="T156" s="3"/>
      <c r="U156" s="4"/>
      <c r="W156" s="6"/>
    </row>
    <row r="157" spans="1:23" ht="15" thickBot="1" x14ac:dyDescent="0.35">
      <c r="A157" s="2">
        <v>58</v>
      </c>
      <c r="B157" s="3" t="s">
        <v>15</v>
      </c>
      <c r="C157" s="2">
        <v>33.1</v>
      </c>
      <c r="D157" s="2">
        <v>0</v>
      </c>
      <c r="E157" s="3" t="s">
        <v>16</v>
      </c>
      <c r="F157" s="3" t="s">
        <v>8</v>
      </c>
      <c r="G157" s="4">
        <v>11848.14</v>
      </c>
      <c r="H157">
        <f t="shared" si="5"/>
        <v>1</v>
      </c>
      <c r="I157" s="6">
        <f t="shared" si="6"/>
        <v>11848.14</v>
      </c>
      <c r="L157" s="19"/>
      <c r="O157" s="2"/>
      <c r="P157" s="3"/>
      <c r="Q157" s="2"/>
      <c r="R157" s="2"/>
      <c r="S157" s="3"/>
      <c r="T157" s="3"/>
      <c r="U157" s="4"/>
      <c r="W157" s="6"/>
    </row>
    <row r="158" spans="1:23" ht="15" thickBot="1" x14ac:dyDescent="0.35">
      <c r="A158" s="2">
        <v>58</v>
      </c>
      <c r="B158" s="3" t="s">
        <v>14</v>
      </c>
      <c r="C158" s="2">
        <v>34.4</v>
      </c>
      <c r="D158" s="2">
        <v>0</v>
      </c>
      <c r="E158" s="3" t="s">
        <v>16</v>
      </c>
      <c r="F158" s="3" t="s">
        <v>7</v>
      </c>
      <c r="G158" s="4">
        <v>11743.93</v>
      </c>
      <c r="H158">
        <f t="shared" si="5"/>
        <v>1</v>
      </c>
      <c r="I158" s="6">
        <f t="shared" si="6"/>
        <v>11743.93</v>
      </c>
      <c r="L158" s="19"/>
      <c r="O158" s="2"/>
      <c r="P158" s="3"/>
      <c r="Q158" s="2"/>
      <c r="R158" s="2"/>
      <c r="S158" s="3"/>
      <c r="T158" s="3"/>
      <c r="U158" s="4"/>
      <c r="W158" s="6"/>
    </row>
    <row r="159" spans="1:23" ht="15" thickBot="1" x14ac:dyDescent="0.35">
      <c r="A159" s="2">
        <v>58</v>
      </c>
      <c r="B159" s="3" t="s">
        <v>14</v>
      </c>
      <c r="C159" s="2">
        <v>36.1</v>
      </c>
      <c r="D159" s="2">
        <v>0</v>
      </c>
      <c r="E159" s="3" t="s">
        <v>16</v>
      </c>
      <c r="F159" s="3" t="s">
        <v>10</v>
      </c>
      <c r="G159" s="4">
        <v>11363.28</v>
      </c>
      <c r="H159">
        <f t="shared" si="5"/>
        <v>1</v>
      </c>
      <c r="I159" s="6">
        <f t="shared" si="6"/>
        <v>11363.28</v>
      </c>
      <c r="L159" s="19"/>
      <c r="O159" s="2"/>
      <c r="P159" s="3"/>
      <c r="Q159" s="2"/>
      <c r="R159" s="2"/>
      <c r="S159" s="3"/>
      <c r="T159" s="3"/>
      <c r="U159" s="4"/>
      <c r="W159" s="6"/>
    </row>
    <row r="160" spans="1:23" ht="15" thickBot="1" x14ac:dyDescent="0.35">
      <c r="A160" s="2">
        <v>58</v>
      </c>
      <c r="B160" s="3" t="s">
        <v>15</v>
      </c>
      <c r="C160" s="2">
        <v>36.5</v>
      </c>
      <c r="D160" s="2">
        <v>0</v>
      </c>
      <c r="E160" s="3" t="s">
        <v>16</v>
      </c>
      <c r="F160" s="3" t="s">
        <v>7</v>
      </c>
      <c r="G160" s="4">
        <v>12235.84</v>
      </c>
      <c r="H160">
        <f t="shared" si="5"/>
        <v>1</v>
      </c>
      <c r="I160" s="6">
        <f t="shared" si="6"/>
        <v>12235.84</v>
      </c>
      <c r="L160" s="19"/>
      <c r="O160" s="2"/>
      <c r="P160" s="3"/>
      <c r="Q160" s="2"/>
      <c r="R160" s="2"/>
      <c r="S160" s="3"/>
      <c r="T160" s="3"/>
      <c r="U160" s="4"/>
      <c r="W160" s="6"/>
    </row>
    <row r="161" spans="1:23" ht="15" thickBot="1" x14ac:dyDescent="0.35">
      <c r="A161" s="2">
        <v>58</v>
      </c>
      <c r="B161" s="3" t="s">
        <v>15</v>
      </c>
      <c r="C161" s="2">
        <v>32.4</v>
      </c>
      <c r="D161" s="2">
        <v>1</v>
      </c>
      <c r="E161" s="3" t="s">
        <v>16</v>
      </c>
      <c r="F161" s="3" t="s">
        <v>9</v>
      </c>
      <c r="G161" s="4">
        <v>13019.16</v>
      </c>
      <c r="H161">
        <f t="shared" si="5"/>
        <v>2</v>
      </c>
      <c r="I161" s="6">
        <f t="shared" si="6"/>
        <v>6509.58</v>
      </c>
      <c r="L161" s="19"/>
      <c r="O161" s="2"/>
      <c r="P161" s="3"/>
      <c r="Q161" s="2"/>
      <c r="R161" s="2"/>
      <c r="S161" s="3"/>
      <c r="T161" s="3"/>
      <c r="U161" s="4"/>
      <c r="W161" s="6"/>
    </row>
    <row r="162" spans="1:23" ht="15" thickBot="1" x14ac:dyDescent="0.35">
      <c r="A162" s="2">
        <v>58</v>
      </c>
      <c r="B162" s="3" t="s">
        <v>14</v>
      </c>
      <c r="C162" s="2">
        <v>30.3</v>
      </c>
      <c r="D162" s="2">
        <v>0</v>
      </c>
      <c r="E162" s="3" t="s">
        <v>16</v>
      </c>
      <c r="F162" s="3" t="s">
        <v>9</v>
      </c>
      <c r="G162" s="4">
        <v>11938.26</v>
      </c>
      <c r="H162">
        <f t="shared" si="5"/>
        <v>1</v>
      </c>
      <c r="I162" s="6">
        <f t="shared" si="6"/>
        <v>11938.26</v>
      </c>
      <c r="L162" s="19"/>
      <c r="O162" s="2"/>
      <c r="P162" s="3"/>
      <c r="Q162" s="2"/>
      <c r="R162" s="2"/>
      <c r="S162" s="3"/>
      <c r="T162" s="3"/>
      <c r="U162" s="4"/>
      <c r="W162" s="6"/>
    </row>
    <row r="163" spans="1:23" ht="15" thickBot="1" x14ac:dyDescent="0.35">
      <c r="A163" s="2">
        <v>58</v>
      </c>
      <c r="B163" s="3" t="s">
        <v>14</v>
      </c>
      <c r="C163" s="2">
        <v>23.3</v>
      </c>
      <c r="D163" s="2">
        <v>0</v>
      </c>
      <c r="E163" s="3" t="s">
        <v>16</v>
      </c>
      <c r="F163" s="3" t="s">
        <v>8</v>
      </c>
      <c r="G163" s="4">
        <v>11345.52</v>
      </c>
      <c r="H163">
        <f t="shared" si="5"/>
        <v>1</v>
      </c>
      <c r="I163" s="6">
        <f t="shared" si="6"/>
        <v>11345.52</v>
      </c>
      <c r="L163" s="19"/>
      <c r="O163" s="2"/>
      <c r="P163" s="3"/>
      <c r="Q163" s="2"/>
      <c r="R163" s="2"/>
      <c r="S163" s="3"/>
      <c r="T163" s="3"/>
      <c r="U163" s="4"/>
      <c r="W163" s="6"/>
    </row>
    <row r="164" spans="1:23" ht="15" thickBot="1" x14ac:dyDescent="0.35">
      <c r="A164" s="2">
        <v>58</v>
      </c>
      <c r="B164" s="3" t="s">
        <v>15</v>
      </c>
      <c r="C164" s="2">
        <v>28.2</v>
      </c>
      <c r="D164" s="2">
        <v>0</v>
      </c>
      <c r="E164" s="3" t="s">
        <v>16</v>
      </c>
      <c r="F164" s="3" t="s">
        <v>7</v>
      </c>
      <c r="G164" s="4">
        <v>12224.35</v>
      </c>
      <c r="H164">
        <f t="shared" si="5"/>
        <v>1</v>
      </c>
      <c r="I164" s="6">
        <f t="shared" si="6"/>
        <v>12224.35</v>
      </c>
      <c r="L164" s="19"/>
      <c r="O164" s="2"/>
      <c r="P164" s="3"/>
      <c r="Q164" s="2"/>
      <c r="R164" s="2"/>
      <c r="S164" s="3"/>
      <c r="T164" s="3"/>
      <c r="U164" s="4"/>
      <c r="W164" s="6"/>
    </row>
    <row r="165" spans="1:23" ht="15" thickBot="1" x14ac:dyDescent="0.35">
      <c r="A165" s="2">
        <v>58</v>
      </c>
      <c r="B165" s="3" t="s">
        <v>14</v>
      </c>
      <c r="C165" s="2">
        <v>25.2</v>
      </c>
      <c r="D165" s="2">
        <v>0</v>
      </c>
      <c r="E165" s="3" t="s">
        <v>16</v>
      </c>
      <c r="F165" s="3" t="s">
        <v>9</v>
      </c>
      <c r="G165" s="4">
        <v>11931.13</v>
      </c>
      <c r="H165">
        <f t="shared" si="5"/>
        <v>1</v>
      </c>
      <c r="I165" s="6">
        <f t="shared" si="6"/>
        <v>11931.13</v>
      </c>
      <c r="L165" s="19"/>
      <c r="O165" s="2"/>
      <c r="P165" s="3"/>
      <c r="Q165" s="2"/>
      <c r="R165" s="2"/>
      <c r="S165" s="3"/>
      <c r="T165" s="3"/>
      <c r="U165" s="4"/>
      <c r="W165" s="6"/>
    </row>
    <row r="166" spans="1:23" ht="15" thickBot="1" x14ac:dyDescent="0.35">
      <c r="A166" s="2">
        <v>57</v>
      </c>
      <c r="B166" s="3" t="s">
        <v>14</v>
      </c>
      <c r="C166" s="2">
        <v>34</v>
      </c>
      <c r="D166" s="2">
        <v>0</v>
      </c>
      <c r="E166" s="3" t="s">
        <v>16</v>
      </c>
      <c r="F166" s="3" t="s">
        <v>7</v>
      </c>
      <c r="G166" s="4">
        <v>11356.66</v>
      </c>
      <c r="H166">
        <f t="shared" si="5"/>
        <v>1</v>
      </c>
      <c r="I166" s="6">
        <f t="shared" si="6"/>
        <v>11356.66</v>
      </c>
      <c r="L166" s="19"/>
      <c r="O166" s="2"/>
      <c r="P166" s="3"/>
      <c r="Q166" s="2"/>
      <c r="R166" s="2"/>
      <c r="S166" s="3"/>
      <c r="T166" s="3"/>
      <c r="U166" s="4"/>
      <c r="W166" s="6"/>
    </row>
    <row r="167" spans="1:23" ht="15" thickBot="1" x14ac:dyDescent="0.35">
      <c r="A167" s="2">
        <v>57</v>
      </c>
      <c r="B167" s="3" t="s">
        <v>15</v>
      </c>
      <c r="C167" s="2">
        <v>31.2</v>
      </c>
      <c r="D167" s="2">
        <v>0</v>
      </c>
      <c r="E167" s="3" t="s">
        <v>17</v>
      </c>
      <c r="F167" s="3" t="s">
        <v>7</v>
      </c>
      <c r="G167" s="4">
        <v>43578.94</v>
      </c>
      <c r="H167">
        <f t="shared" si="5"/>
        <v>1</v>
      </c>
      <c r="I167" s="6">
        <f t="shared" si="6"/>
        <v>43578.94</v>
      </c>
      <c r="L167" s="19"/>
      <c r="O167" s="2"/>
      <c r="P167" s="3"/>
      <c r="Q167" s="2"/>
      <c r="R167" s="2"/>
      <c r="S167" s="3"/>
      <c r="T167" s="3"/>
      <c r="U167" s="4"/>
      <c r="W167" s="6"/>
    </row>
    <row r="168" spans="1:23" ht="15" thickBot="1" x14ac:dyDescent="0.35">
      <c r="A168" s="2">
        <v>57</v>
      </c>
      <c r="B168" s="3" t="s">
        <v>15</v>
      </c>
      <c r="C168" s="2">
        <v>38</v>
      </c>
      <c r="D168" s="2">
        <v>2</v>
      </c>
      <c r="E168" s="3" t="s">
        <v>16</v>
      </c>
      <c r="F168" s="3" t="s">
        <v>8</v>
      </c>
      <c r="G168" s="4">
        <v>12646.21</v>
      </c>
      <c r="H168">
        <f t="shared" si="5"/>
        <v>3</v>
      </c>
      <c r="I168" s="6">
        <f t="shared" si="6"/>
        <v>4215.4033333333327</v>
      </c>
      <c r="L168" s="19"/>
      <c r="O168" s="2"/>
      <c r="P168" s="3"/>
      <c r="Q168" s="2"/>
      <c r="R168" s="2"/>
      <c r="S168" s="3"/>
      <c r="T168" s="3"/>
      <c r="U168" s="4"/>
      <c r="W168" s="6"/>
    </row>
    <row r="169" spans="1:23" ht="15" thickBot="1" x14ac:dyDescent="0.35">
      <c r="A169" s="2">
        <v>57</v>
      </c>
      <c r="B169" s="3" t="s">
        <v>14</v>
      </c>
      <c r="C169" s="2">
        <v>40.9</v>
      </c>
      <c r="D169" s="2">
        <v>0</v>
      </c>
      <c r="E169" s="3" t="s">
        <v>16</v>
      </c>
      <c r="F169" s="3" t="s">
        <v>9</v>
      </c>
      <c r="G169" s="4">
        <v>11566.3</v>
      </c>
      <c r="H169">
        <f t="shared" si="5"/>
        <v>1</v>
      </c>
      <c r="I169" s="6">
        <f t="shared" si="6"/>
        <v>11566.3</v>
      </c>
      <c r="L169" s="19"/>
      <c r="O169" s="2"/>
      <c r="P169" s="3"/>
      <c r="Q169" s="2"/>
      <c r="R169" s="2"/>
      <c r="S169" s="3"/>
      <c r="T169" s="3"/>
      <c r="U169" s="4"/>
      <c r="W169" s="6"/>
    </row>
    <row r="170" spans="1:23" ht="15" thickBot="1" x14ac:dyDescent="0.35">
      <c r="A170" s="2">
        <v>57</v>
      </c>
      <c r="B170" s="3" t="s">
        <v>15</v>
      </c>
      <c r="C170" s="2">
        <v>23.2</v>
      </c>
      <c r="D170" s="2">
        <v>0</v>
      </c>
      <c r="E170" s="3" t="s">
        <v>16</v>
      </c>
      <c r="F170" s="3" t="s">
        <v>7</v>
      </c>
      <c r="G170" s="4">
        <v>11830.61</v>
      </c>
      <c r="H170">
        <f t="shared" si="5"/>
        <v>1</v>
      </c>
      <c r="I170" s="6">
        <f t="shared" si="6"/>
        <v>11830.61</v>
      </c>
      <c r="L170" s="19"/>
      <c r="O170" s="2"/>
      <c r="P170" s="3"/>
      <c r="Q170" s="2"/>
      <c r="R170" s="2"/>
      <c r="S170" s="3"/>
      <c r="T170" s="3"/>
      <c r="U170" s="4"/>
      <c r="W170" s="6"/>
    </row>
    <row r="171" spans="1:23" ht="15" thickBot="1" x14ac:dyDescent="0.35">
      <c r="A171" s="2">
        <v>57</v>
      </c>
      <c r="B171" s="3" t="s">
        <v>15</v>
      </c>
      <c r="C171" s="2">
        <v>22.2</v>
      </c>
      <c r="D171" s="2">
        <v>0</v>
      </c>
      <c r="E171" s="3" t="s">
        <v>16</v>
      </c>
      <c r="F171" s="3" t="s">
        <v>9</v>
      </c>
      <c r="G171" s="4">
        <v>12029.29</v>
      </c>
      <c r="H171">
        <f t="shared" si="5"/>
        <v>1</v>
      </c>
      <c r="I171" s="6">
        <f t="shared" si="6"/>
        <v>12029.29</v>
      </c>
      <c r="L171" s="19"/>
      <c r="O171" s="2"/>
      <c r="P171" s="3"/>
      <c r="Q171" s="2"/>
      <c r="R171" s="2"/>
      <c r="S171" s="3"/>
      <c r="T171" s="3"/>
      <c r="U171" s="4"/>
      <c r="W171" s="6"/>
    </row>
    <row r="172" spans="1:23" ht="15" thickBot="1" x14ac:dyDescent="0.35">
      <c r="A172" s="2">
        <v>57</v>
      </c>
      <c r="B172" s="3" t="s">
        <v>15</v>
      </c>
      <c r="C172" s="2">
        <v>30.5</v>
      </c>
      <c r="D172" s="2">
        <v>0</v>
      </c>
      <c r="E172" s="3" t="s">
        <v>16</v>
      </c>
      <c r="F172" s="3" t="s">
        <v>7</v>
      </c>
      <c r="G172" s="4">
        <v>11840.78</v>
      </c>
      <c r="H172">
        <f t="shared" si="5"/>
        <v>1</v>
      </c>
      <c r="I172" s="6">
        <f t="shared" si="6"/>
        <v>11840.78</v>
      </c>
      <c r="L172" s="19"/>
      <c r="O172" s="2"/>
      <c r="P172" s="3"/>
      <c r="Q172" s="2"/>
      <c r="R172" s="2"/>
      <c r="S172" s="3"/>
      <c r="T172" s="3"/>
      <c r="U172" s="4"/>
      <c r="W172" s="6"/>
    </row>
    <row r="173" spans="1:23" ht="15" thickBot="1" x14ac:dyDescent="0.35">
      <c r="A173" s="2">
        <v>57</v>
      </c>
      <c r="B173" s="3" t="s">
        <v>15</v>
      </c>
      <c r="C173" s="2">
        <v>28.7</v>
      </c>
      <c r="D173" s="2">
        <v>0</v>
      </c>
      <c r="E173" s="3" t="s">
        <v>16</v>
      </c>
      <c r="F173" s="3" t="s">
        <v>8</v>
      </c>
      <c r="G173" s="4">
        <v>11455.28</v>
      </c>
      <c r="H173">
        <f t="shared" si="5"/>
        <v>1</v>
      </c>
      <c r="I173" s="6">
        <f t="shared" si="6"/>
        <v>11455.28</v>
      </c>
      <c r="L173" s="19"/>
      <c r="O173" s="2"/>
      <c r="P173" s="3"/>
      <c r="Q173" s="2"/>
      <c r="R173" s="2"/>
      <c r="S173" s="3"/>
      <c r="T173" s="3"/>
      <c r="U173" s="4"/>
      <c r="W173" s="6"/>
    </row>
    <row r="174" spans="1:23" ht="15" thickBot="1" x14ac:dyDescent="0.35">
      <c r="A174" s="2">
        <v>57</v>
      </c>
      <c r="B174" s="3" t="s">
        <v>14</v>
      </c>
      <c r="C174" s="2">
        <v>42.1</v>
      </c>
      <c r="D174" s="2">
        <v>1</v>
      </c>
      <c r="E174" s="3" t="s">
        <v>17</v>
      </c>
      <c r="F174" s="3" t="s">
        <v>10</v>
      </c>
      <c r="G174" s="4">
        <v>48675.519999999997</v>
      </c>
      <c r="H174">
        <f t="shared" si="5"/>
        <v>2</v>
      </c>
      <c r="I174" s="6">
        <f t="shared" si="6"/>
        <v>24337.759999999998</v>
      </c>
      <c r="L174" s="19"/>
      <c r="O174" s="2"/>
      <c r="P174" s="3"/>
      <c r="Q174" s="2"/>
      <c r="R174" s="2"/>
      <c r="S174" s="3"/>
      <c r="T174" s="3"/>
      <c r="U174" s="4"/>
      <c r="W174" s="6"/>
    </row>
    <row r="175" spans="1:23" ht="15" thickBot="1" x14ac:dyDescent="0.35">
      <c r="A175" s="2">
        <v>57</v>
      </c>
      <c r="B175" s="3" t="s">
        <v>15</v>
      </c>
      <c r="C175" s="2">
        <v>34.299999999999997</v>
      </c>
      <c r="D175" s="2">
        <v>2</v>
      </c>
      <c r="E175" s="3" t="s">
        <v>16</v>
      </c>
      <c r="F175" s="3" t="s">
        <v>9</v>
      </c>
      <c r="G175" s="4">
        <v>13224.06</v>
      </c>
      <c r="H175">
        <f t="shared" si="5"/>
        <v>3</v>
      </c>
      <c r="I175" s="6">
        <f t="shared" si="6"/>
        <v>4408.0199999999995</v>
      </c>
      <c r="L175" s="19"/>
      <c r="O175" s="2"/>
      <c r="P175" s="3"/>
      <c r="Q175" s="2"/>
      <c r="R175" s="2"/>
      <c r="S175" s="3"/>
      <c r="T175" s="3"/>
      <c r="U175" s="4"/>
      <c r="W175" s="6"/>
    </row>
    <row r="176" spans="1:23" ht="15" thickBot="1" x14ac:dyDescent="0.35">
      <c r="A176" s="2">
        <v>57</v>
      </c>
      <c r="B176" s="3" t="s">
        <v>15</v>
      </c>
      <c r="C176" s="2">
        <v>28.8</v>
      </c>
      <c r="D176" s="2">
        <v>4</v>
      </c>
      <c r="E176" s="3" t="s">
        <v>16</v>
      </c>
      <c r="F176" s="3" t="s">
        <v>9</v>
      </c>
      <c r="G176" s="4">
        <v>14394.4</v>
      </c>
      <c r="H176">
        <f t="shared" si="5"/>
        <v>5</v>
      </c>
      <c r="I176" s="6">
        <f t="shared" si="6"/>
        <v>2878.88</v>
      </c>
      <c r="L176" s="19"/>
      <c r="O176" s="2"/>
      <c r="P176" s="3"/>
      <c r="Q176" s="2"/>
      <c r="R176" s="2"/>
      <c r="S176" s="3"/>
      <c r="T176" s="3"/>
      <c r="U176" s="4"/>
      <c r="W176" s="6"/>
    </row>
    <row r="177" spans="1:23" ht="15" thickBot="1" x14ac:dyDescent="0.35">
      <c r="A177" s="2">
        <v>57</v>
      </c>
      <c r="B177" s="3" t="s">
        <v>15</v>
      </c>
      <c r="C177" s="2">
        <v>24</v>
      </c>
      <c r="D177" s="2">
        <v>1</v>
      </c>
      <c r="E177" s="3" t="s">
        <v>16</v>
      </c>
      <c r="F177" s="3" t="s">
        <v>10</v>
      </c>
      <c r="G177" s="4">
        <v>22192.44</v>
      </c>
      <c r="H177">
        <f t="shared" si="5"/>
        <v>2</v>
      </c>
      <c r="I177" s="6">
        <f t="shared" si="6"/>
        <v>11096.22</v>
      </c>
      <c r="L177" s="19"/>
      <c r="O177" s="2"/>
      <c r="P177" s="3"/>
      <c r="Q177" s="2"/>
      <c r="R177" s="2"/>
      <c r="S177" s="3"/>
      <c r="T177" s="3"/>
      <c r="U177" s="4"/>
      <c r="W177" s="6"/>
    </row>
    <row r="178" spans="1:23" ht="15" thickBot="1" x14ac:dyDescent="0.35">
      <c r="A178" s="2">
        <v>57</v>
      </c>
      <c r="B178" s="3" t="s">
        <v>15</v>
      </c>
      <c r="C178" s="2">
        <v>31.8</v>
      </c>
      <c r="D178" s="2">
        <v>0</v>
      </c>
      <c r="E178" s="3" t="s">
        <v>16</v>
      </c>
      <c r="F178" s="3" t="s">
        <v>7</v>
      </c>
      <c r="G178" s="4">
        <v>11842.62</v>
      </c>
      <c r="H178">
        <f t="shared" si="5"/>
        <v>1</v>
      </c>
      <c r="I178" s="6">
        <f t="shared" si="6"/>
        <v>11842.62</v>
      </c>
      <c r="L178" s="19"/>
      <c r="O178" s="2"/>
      <c r="P178" s="3"/>
      <c r="Q178" s="2"/>
      <c r="R178" s="2"/>
      <c r="S178" s="3"/>
      <c r="T178" s="3"/>
      <c r="U178" s="4"/>
      <c r="W178" s="6"/>
    </row>
    <row r="179" spans="1:23" ht="15" thickBot="1" x14ac:dyDescent="0.35">
      <c r="A179" s="2">
        <v>57</v>
      </c>
      <c r="B179" s="3" t="s">
        <v>15</v>
      </c>
      <c r="C179" s="2">
        <v>29.8</v>
      </c>
      <c r="D179" s="2">
        <v>0</v>
      </c>
      <c r="E179" s="3" t="s">
        <v>17</v>
      </c>
      <c r="F179" s="3" t="s">
        <v>10</v>
      </c>
      <c r="G179" s="4">
        <v>27533.91</v>
      </c>
      <c r="H179">
        <f t="shared" si="5"/>
        <v>1</v>
      </c>
      <c r="I179" s="6">
        <f t="shared" si="6"/>
        <v>27533.91</v>
      </c>
      <c r="L179" s="19"/>
      <c r="O179" s="2"/>
      <c r="P179" s="3"/>
      <c r="Q179" s="2"/>
      <c r="R179" s="2"/>
      <c r="S179" s="3"/>
      <c r="T179" s="3"/>
      <c r="U179" s="4"/>
      <c r="W179" s="6"/>
    </row>
    <row r="180" spans="1:23" ht="15" thickBot="1" x14ac:dyDescent="0.35">
      <c r="A180" s="2">
        <v>57</v>
      </c>
      <c r="B180" s="3" t="s">
        <v>14</v>
      </c>
      <c r="C180" s="2">
        <v>28.1</v>
      </c>
      <c r="D180" s="2">
        <v>0</v>
      </c>
      <c r="E180" s="3" t="s">
        <v>16</v>
      </c>
      <c r="F180" s="3" t="s">
        <v>8</v>
      </c>
      <c r="G180" s="4">
        <v>10965.45</v>
      </c>
      <c r="H180">
        <f t="shared" si="5"/>
        <v>1</v>
      </c>
      <c r="I180" s="6">
        <f t="shared" si="6"/>
        <v>10965.45</v>
      </c>
      <c r="L180" s="19"/>
      <c r="O180" s="2"/>
      <c r="P180" s="3"/>
      <c r="Q180" s="2"/>
      <c r="R180" s="2"/>
      <c r="S180" s="3"/>
      <c r="T180" s="3"/>
      <c r="U180" s="4"/>
      <c r="W180" s="6"/>
    </row>
    <row r="181" spans="1:23" ht="15" thickBot="1" x14ac:dyDescent="0.35">
      <c r="A181" s="2">
        <v>57</v>
      </c>
      <c r="B181" s="3" t="s">
        <v>14</v>
      </c>
      <c r="C181" s="2">
        <v>43.7</v>
      </c>
      <c r="D181" s="2">
        <v>1</v>
      </c>
      <c r="E181" s="3" t="s">
        <v>16</v>
      </c>
      <c r="F181" s="3" t="s">
        <v>8</v>
      </c>
      <c r="G181" s="4">
        <v>11576.13</v>
      </c>
      <c r="H181">
        <f t="shared" si="5"/>
        <v>2</v>
      </c>
      <c r="I181" s="6">
        <f t="shared" si="6"/>
        <v>5788.0649999999996</v>
      </c>
      <c r="L181" s="19"/>
      <c r="O181" s="2"/>
      <c r="P181" s="3"/>
      <c r="Q181" s="2"/>
      <c r="R181" s="2"/>
      <c r="S181" s="3"/>
      <c r="T181" s="3"/>
      <c r="U181" s="4"/>
      <c r="W181" s="6"/>
    </row>
    <row r="182" spans="1:23" ht="15" thickBot="1" x14ac:dyDescent="0.35">
      <c r="A182" s="2">
        <v>57</v>
      </c>
      <c r="B182" s="3" t="s">
        <v>14</v>
      </c>
      <c r="C182" s="2">
        <v>29</v>
      </c>
      <c r="D182" s="2">
        <v>0</v>
      </c>
      <c r="E182" s="3" t="s">
        <v>17</v>
      </c>
      <c r="F182" s="3" t="s">
        <v>9</v>
      </c>
      <c r="G182" s="4">
        <v>27218.44</v>
      </c>
      <c r="H182">
        <f t="shared" si="5"/>
        <v>1</v>
      </c>
      <c r="I182" s="6">
        <f t="shared" si="6"/>
        <v>27218.44</v>
      </c>
      <c r="L182" s="19"/>
      <c r="O182" s="2"/>
      <c r="P182" s="3"/>
      <c r="Q182" s="2"/>
      <c r="R182" s="2"/>
      <c r="S182" s="3"/>
      <c r="T182" s="3"/>
      <c r="U182" s="4"/>
      <c r="W182" s="6"/>
    </row>
    <row r="183" spans="1:23" ht="15" thickBot="1" x14ac:dyDescent="0.35">
      <c r="A183" s="2">
        <v>57</v>
      </c>
      <c r="B183" s="3" t="s">
        <v>14</v>
      </c>
      <c r="C183" s="2">
        <v>33.6</v>
      </c>
      <c r="D183" s="2">
        <v>1</v>
      </c>
      <c r="E183" s="3" t="s">
        <v>16</v>
      </c>
      <c r="F183" s="3" t="s">
        <v>7</v>
      </c>
      <c r="G183" s="4">
        <v>11945.13</v>
      </c>
      <c r="H183">
        <f t="shared" si="5"/>
        <v>2</v>
      </c>
      <c r="I183" s="6">
        <f t="shared" si="6"/>
        <v>5972.5649999999996</v>
      </c>
      <c r="L183" s="19"/>
      <c r="O183" s="2"/>
      <c r="P183" s="3"/>
      <c r="Q183" s="2"/>
      <c r="R183" s="2"/>
      <c r="S183" s="3"/>
      <c r="T183" s="3"/>
      <c r="U183" s="4"/>
      <c r="W183" s="6"/>
    </row>
    <row r="184" spans="1:23" ht="15" thickBot="1" x14ac:dyDescent="0.35">
      <c r="A184" s="2">
        <v>57</v>
      </c>
      <c r="B184" s="3" t="s">
        <v>15</v>
      </c>
      <c r="C184" s="2">
        <v>20.100000000000001</v>
      </c>
      <c r="D184" s="2">
        <v>1</v>
      </c>
      <c r="E184" s="3" t="s">
        <v>16</v>
      </c>
      <c r="F184" s="3" t="s">
        <v>8</v>
      </c>
      <c r="G184" s="4">
        <v>12032.33</v>
      </c>
      <c r="H184">
        <f t="shared" si="5"/>
        <v>2</v>
      </c>
      <c r="I184" s="6">
        <f t="shared" si="6"/>
        <v>6016.165</v>
      </c>
      <c r="L184" s="19"/>
      <c r="O184" s="2"/>
      <c r="P184" s="3"/>
      <c r="Q184" s="2"/>
      <c r="R184" s="2"/>
      <c r="S184" s="3"/>
      <c r="T184" s="3"/>
      <c r="U184" s="4"/>
      <c r="W184" s="6"/>
    </row>
    <row r="185" spans="1:23" ht="15" thickBot="1" x14ac:dyDescent="0.35">
      <c r="A185" s="2">
        <v>57</v>
      </c>
      <c r="B185" s="3" t="s">
        <v>14</v>
      </c>
      <c r="C185" s="2">
        <v>18.3</v>
      </c>
      <c r="D185" s="2">
        <v>0</v>
      </c>
      <c r="E185" s="3" t="s">
        <v>16</v>
      </c>
      <c r="F185" s="3" t="s">
        <v>9</v>
      </c>
      <c r="G185" s="4">
        <v>11534.87</v>
      </c>
      <c r="H185">
        <f t="shared" si="5"/>
        <v>1</v>
      </c>
      <c r="I185" s="6">
        <f t="shared" si="6"/>
        <v>11534.87</v>
      </c>
      <c r="L185" s="19"/>
      <c r="O185" s="2"/>
      <c r="P185" s="3"/>
      <c r="Q185" s="2"/>
      <c r="R185" s="2"/>
      <c r="S185" s="3"/>
      <c r="T185" s="3"/>
      <c r="U185" s="4"/>
      <c r="W185" s="6"/>
    </row>
    <row r="186" spans="1:23" ht="15" thickBot="1" x14ac:dyDescent="0.35">
      <c r="A186" s="2">
        <v>57</v>
      </c>
      <c r="B186" s="3" t="s">
        <v>14</v>
      </c>
      <c r="C186" s="2">
        <v>27.9</v>
      </c>
      <c r="D186" s="2">
        <v>1</v>
      </c>
      <c r="E186" s="3" t="s">
        <v>16</v>
      </c>
      <c r="F186" s="3" t="s">
        <v>10</v>
      </c>
      <c r="G186" s="4">
        <v>11554.22</v>
      </c>
      <c r="H186">
        <f t="shared" si="5"/>
        <v>2</v>
      </c>
      <c r="I186" s="6">
        <f t="shared" si="6"/>
        <v>5777.11</v>
      </c>
      <c r="L186" s="19"/>
      <c r="O186" s="2"/>
      <c r="P186" s="3"/>
      <c r="Q186" s="2"/>
      <c r="R186" s="2"/>
      <c r="S186" s="3"/>
      <c r="T186" s="3"/>
      <c r="U186" s="4"/>
      <c r="W186" s="6"/>
    </row>
    <row r="187" spans="1:23" ht="15" thickBot="1" x14ac:dyDescent="0.35">
      <c r="A187" s="2">
        <v>57</v>
      </c>
      <c r="B187" s="3" t="s">
        <v>14</v>
      </c>
      <c r="C187" s="2">
        <v>31.5</v>
      </c>
      <c r="D187" s="2">
        <v>0</v>
      </c>
      <c r="E187" s="3" t="s">
        <v>16</v>
      </c>
      <c r="F187" s="3" t="s">
        <v>7</v>
      </c>
      <c r="G187" s="4">
        <v>11353.23</v>
      </c>
      <c r="H187">
        <f t="shared" si="5"/>
        <v>1</v>
      </c>
      <c r="I187" s="6">
        <f t="shared" si="6"/>
        <v>11353.23</v>
      </c>
      <c r="L187" s="19"/>
      <c r="O187" s="2"/>
      <c r="P187" s="3"/>
      <c r="Q187" s="2"/>
      <c r="R187" s="2"/>
      <c r="S187" s="3"/>
      <c r="T187" s="3"/>
      <c r="U187" s="4"/>
      <c r="W187" s="6"/>
    </row>
    <row r="188" spans="1:23" ht="15" thickBot="1" x14ac:dyDescent="0.35">
      <c r="A188" s="2">
        <v>57</v>
      </c>
      <c r="B188" s="3" t="s">
        <v>14</v>
      </c>
      <c r="C188" s="2">
        <v>40.299999999999997</v>
      </c>
      <c r="D188" s="2">
        <v>0</v>
      </c>
      <c r="E188" s="3" t="s">
        <v>16</v>
      </c>
      <c r="F188" s="3" t="s">
        <v>9</v>
      </c>
      <c r="G188" s="4">
        <v>20709.02</v>
      </c>
      <c r="H188">
        <f t="shared" si="5"/>
        <v>1</v>
      </c>
      <c r="I188" s="6">
        <f t="shared" si="6"/>
        <v>20709.02</v>
      </c>
      <c r="L188" s="19"/>
      <c r="O188" s="2"/>
      <c r="P188" s="3"/>
      <c r="Q188" s="2"/>
      <c r="R188" s="2"/>
      <c r="S188" s="3"/>
      <c r="T188" s="3"/>
      <c r="U188" s="4"/>
      <c r="W188" s="6"/>
    </row>
    <row r="189" spans="1:23" ht="15" thickBot="1" x14ac:dyDescent="0.35">
      <c r="A189" s="2">
        <v>57</v>
      </c>
      <c r="B189" s="3" t="s">
        <v>14</v>
      </c>
      <c r="C189" s="2">
        <v>40.4</v>
      </c>
      <c r="D189" s="2">
        <v>0</v>
      </c>
      <c r="E189" s="3" t="s">
        <v>16</v>
      </c>
      <c r="F189" s="3" t="s">
        <v>10</v>
      </c>
      <c r="G189" s="4">
        <v>10982.5</v>
      </c>
      <c r="H189">
        <f t="shared" si="5"/>
        <v>1</v>
      </c>
      <c r="I189" s="6">
        <f t="shared" si="6"/>
        <v>10982.5</v>
      </c>
      <c r="L189" s="19"/>
      <c r="O189" s="2"/>
      <c r="P189" s="3"/>
      <c r="Q189" s="2"/>
      <c r="R189" s="2"/>
      <c r="S189" s="3"/>
      <c r="T189" s="3"/>
      <c r="U189" s="4"/>
      <c r="W189" s="6"/>
    </row>
    <row r="190" spans="1:23" ht="15" thickBot="1" x14ac:dyDescent="0.35">
      <c r="A190" s="2">
        <v>57</v>
      </c>
      <c r="B190" s="3" t="s">
        <v>14</v>
      </c>
      <c r="C190" s="2">
        <v>23.7</v>
      </c>
      <c r="D190" s="2">
        <v>0</v>
      </c>
      <c r="E190" s="3" t="s">
        <v>16</v>
      </c>
      <c r="F190" s="3" t="s">
        <v>8</v>
      </c>
      <c r="G190" s="4">
        <v>10959.33</v>
      </c>
      <c r="H190">
        <f t="shared" si="5"/>
        <v>1</v>
      </c>
      <c r="I190" s="6">
        <f t="shared" si="6"/>
        <v>10959.33</v>
      </c>
      <c r="L190" s="19"/>
      <c r="O190" s="2"/>
      <c r="P190" s="3"/>
      <c r="Q190" s="2"/>
      <c r="R190" s="2"/>
      <c r="S190" s="3"/>
      <c r="T190" s="3"/>
      <c r="U190" s="4"/>
      <c r="W190" s="6"/>
    </row>
    <row r="191" spans="1:23" ht="15" thickBot="1" x14ac:dyDescent="0.35">
      <c r="A191" s="2">
        <v>57</v>
      </c>
      <c r="B191" s="3" t="s">
        <v>15</v>
      </c>
      <c r="C191" s="2">
        <v>25.7</v>
      </c>
      <c r="D191" s="2">
        <v>2</v>
      </c>
      <c r="E191" s="3" t="s">
        <v>16</v>
      </c>
      <c r="F191" s="3" t="s">
        <v>10</v>
      </c>
      <c r="G191" s="4">
        <v>12629.17</v>
      </c>
      <c r="H191">
        <f t="shared" si="5"/>
        <v>3</v>
      </c>
      <c r="I191" s="6">
        <f t="shared" si="6"/>
        <v>4209.7233333333334</v>
      </c>
      <c r="L191" s="19"/>
      <c r="O191" s="2"/>
      <c r="P191" s="3"/>
      <c r="Q191" s="2"/>
      <c r="R191" s="2"/>
      <c r="S191" s="3"/>
      <c r="T191" s="3"/>
      <c r="U191" s="4"/>
      <c r="W191" s="6"/>
    </row>
    <row r="192" spans="1:23" ht="15" thickBot="1" x14ac:dyDescent="0.35">
      <c r="A192" s="2">
        <v>56</v>
      </c>
      <c r="B192" s="3" t="s">
        <v>15</v>
      </c>
      <c r="C192" s="2">
        <v>39.799999999999997</v>
      </c>
      <c r="D192" s="2">
        <v>0</v>
      </c>
      <c r="E192" s="3" t="s">
        <v>16</v>
      </c>
      <c r="F192" s="3" t="s">
        <v>10</v>
      </c>
      <c r="G192" s="4">
        <v>11090.72</v>
      </c>
      <c r="H192">
        <f t="shared" si="5"/>
        <v>1</v>
      </c>
      <c r="I192" s="6">
        <f t="shared" si="6"/>
        <v>11090.72</v>
      </c>
      <c r="L192" s="19"/>
      <c r="O192" s="2"/>
      <c r="P192" s="3"/>
      <c r="Q192" s="2"/>
      <c r="R192" s="2"/>
      <c r="S192" s="3"/>
      <c r="T192" s="3"/>
      <c r="U192" s="4"/>
      <c r="W192" s="6"/>
    </row>
    <row r="193" spans="1:23" ht="15" thickBot="1" x14ac:dyDescent="0.35">
      <c r="A193" s="2">
        <v>56</v>
      </c>
      <c r="B193" s="3" t="s">
        <v>14</v>
      </c>
      <c r="C193" s="2">
        <v>40.299999999999997</v>
      </c>
      <c r="D193" s="2">
        <v>0</v>
      </c>
      <c r="E193" s="3" t="s">
        <v>16</v>
      </c>
      <c r="F193" s="3" t="s">
        <v>8</v>
      </c>
      <c r="G193" s="4">
        <v>10602.39</v>
      </c>
      <c r="H193">
        <f t="shared" si="5"/>
        <v>1</v>
      </c>
      <c r="I193" s="6">
        <f t="shared" si="6"/>
        <v>10602.39</v>
      </c>
      <c r="L193" s="19"/>
      <c r="O193" s="2"/>
      <c r="P193" s="3"/>
      <c r="Q193" s="2"/>
      <c r="R193" s="2"/>
      <c r="S193" s="3"/>
      <c r="T193" s="3"/>
      <c r="U193" s="4"/>
      <c r="W193" s="6"/>
    </row>
    <row r="194" spans="1:23" ht="15" thickBot="1" x14ac:dyDescent="0.35">
      <c r="A194" s="2">
        <v>56</v>
      </c>
      <c r="B194" s="3" t="s">
        <v>15</v>
      </c>
      <c r="C194" s="2">
        <v>27.2</v>
      </c>
      <c r="D194" s="2">
        <v>0</v>
      </c>
      <c r="E194" s="3" t="s">
        <v>16</v>
      </c>
      <c r="F194" s="3" t="s">
        <v>8</v>
      </c>
      <c r="G194" s="4">
        <v>11073.18</v>
      </c>
      <c r="H194">
        <f t="shared" si="5"/>
        <v>1</v>
      </c>
      <c r="I194" s="6">
        <f t="shared" si="6"/>
        <v>11073.18</v>
      </c>
      <c r="L194" s="19"/>
      <c r="O194" s="2"/>
      <c r="P194" s="3"/>
      <c r="Q194" s="2"/>
      <c r="R194" s="2"/>
      <c r="S194" s="3"/>
      <c r="T194" s="3"/>
      <c r="U194" s="4"/>
      <c r="W194" s="6"/>
    </row>
    <row r="195" spans="1:23" ht="15" thickBot="1" x14ac:dyDescent="0.35">
      <c r="A195" s="2">
        <v>56</v>
      </c>
      <c r="B195" s="3" t="s">
        <v>14</v>
      </c>
      <c r="C195" s="2">
        <v>20</v>
      </c>
      <c r="D195" s="2">
        <v>0</v>
      </c>
      <c r="E195" s="3" t="s">
        <v>17</v>
      </c>
      <c r="F195" s="3" t="s">
        <v>9</v>
      </c>
      <c r="G195" s="4">
        <v>22412.65</v>
      </c>
      <c r="H195">
        <f t="shared" ref="H195:H258" si="7">D195+1</f>
        <v>1</v>
      </c>
      <c r="I195" s="6">
        <f t="shared" ref="I195:I258" si="8">G195/H195</f>
        <v>22412.65</v>
      </c>
      <c r="L195" s="19"/>
      <c r="O195" s="2"/>
      <c r="P195" s="3"/>
      <c r="Q195" s="2"/>
      <c r="R195" s="2"/>
      <c r="S195" s="3"/>
      <c r="T195" s="3"/>
      <c r="U195" s="4"/>
      <c r="W195" s="6"/>
    </row>
    <row r="196" spans="1:23" ht="15" thickBot="1" x14ac:dyDescent="0.35">
      <c r="A196" s="2">
        <v>56</v>
      </c>
      <c r="B196" s="3" t="s">
        <v>15</v>
      </c>
      <c r="C196" s="2">
        <v>26.6</v>
      </c>
      <c r="D196" s="2">
        <v>1</v>
      </c>
      <c r="E196" s="3" t="s">
        <v>16</v>
      </c>
      <c r="F196" s="3" t="s">
        <v>7</v>
      </c>
      <c r="G196" s="4">
        <v>12044.34</v>
      </c>
      <c r="H196">
        <f t="shared" si="7"/>
        <v>2</v>
      </c>
      <c r="I196" s="6">
        <f t="shared" si="8"/>
        <v>6022.17</v>
      </c>
      <c r="L196" s="19"/>
      <c r="O196" s="2"/>
      <c r="P196" s="3"/>
      <c r="Q196" s="2"/>
      <c r="R196" s="2"/>
      <c r="S196" s="3"/>
      <c r="T196" s="3"/>
      <c r="U196" s="4"/>
      <c r="W196" s="6"/>
    </row>
    <row r="197" spans="1:23" ht="15" thickBot="1" x14ac:dyDescent="0.35">
      <c r="A197" s="2">
        <v>56</v>
      </c>
      <c r="B197" s="3" t="s">
        <v>14</v>
      </c>
      <c r="C197" s="2">
        <v>33.6</v>
      </c>
      <c r="D197" s="2">
        <v>0</v>
      </c>
      <c r="E197" s="3" t="s">
        <v>17</v>
      </c>
      <c r="F197" s="3" t="s">
        <v>7</v>
      </c>
      <c r="G197" s="4">
        <v>43921.18</v>
      </c>
      <c r="H197">
        <f t="shared" si="7"/>
        <v>1</v>
      </c>
      <c r="I197" s="6">
        <f t="shared" si="8"/>
        <v>43921.18</v>
      </c>
      <c r="L197" s="19"/>
      <c r="O197" s="2"/>
      <c r="P197" s="3"/>
      <c r="Q197" s="2"/>
      <c r="R197" s="2"/>
      <c r="S197" s="3"/>
      <c r="T197" s="3"/>
      <c r="U197" s="4"/>
      <c r="W197" s="6"/>
    </row>
    <row r="198" spans="1:23" ht="15" thickBot="1" x14ac:dyDescent="0.35">
      <c r="A198" s="2">
        <v>56</v>
      </c>
      <c r="B198" s="3" t="s">
        <v>15</v>
      </c>
      <c r="C198" s="2">
        <v>37.5</v>
      </c>
      <c r="D198" s="2">
        <v>2</v>
      </c>
      <c r="E198" s="3" t="s">
        <v>16</v>
      </c>
      <c r="F198" s="3" t="s">
        <v>10</v>
      </c>
      <c r="G198" s="4">
        <v>12265.51</v>
      </c>
      <c r="H198">
        <f t="shared" si="7"/>
        <v>3</v>
      </c>
      <c r="I198" s="6">
        <f t="shared" si="8"/>
        <v>4088.5033333333336</v>
      </c>
      <c r="L198" s="19"/>
      <c r="O198" s="2"/>
      <c r="P198" s="3"/>
      <c r="Q198" s="2"/>
      <c r="R198" s="2"/>
      <c r="S198" s="3"/>
      <c r="T198" s="3"/>
      <c r="U198" s="4"/>
      <c r="W198" s="6"/>
    </row>
    <row r="199" spans="1:23" ht="15" thickBot="1" x14ac:dyDescent="0.35">
      <c r="A199" s="2">
        <v>56</v>
      </c>
      <c r="B199" s="3" t="s">
        <v>15</v>
      </c>
      <c r="C199" s="2">
        <v>28.8</v>
      </c>
      <c r="D199" s="2">
        <v>0</v>
      </c>
      <c r="E199" s="3" t="s">
        <v>16</v>
      </c>
      <c r="F199" s="3" t="s">
        <v>9</v>
      </c>
      <c r="G199" s="4">
        <v>11658.38</v>
      </c>
      <c r="H199">
        <f t="shared" si="7"/>
        <v>1</v>
      </c>
      <c r="I199" s="6">
        <f t="shared" si="8"/>
        <v>11658.38</v>
      </c>
      <c r="L199" s="19"/>
      <c r="O199" s="2"/>
      <c r="P199" s="3"/>
      <c r="Q199" s="2"/>
      <c r="R199" s="2"/>
      <c r="S199" s="3"/>
      <c r="T199" s="3"/>
      <c r="U199" s="4"/>
      <c r="W199" s="6"/>
    </row>
    <row r="200" spans="1:23" ht="15" thickBot="1" x14ac:dyDescent="0.35">
      <c r="A200" s="2">
        <v>56</v>
      </c>
      <c r="B200" s="3" t="s">
        <v>15</v>
      </c>
      <c r="C200" s="2">
        <v>32.299999999999997</v>
      </c>
      <c r="D200" s="2">
        <v>3</v>
      </c>
      <c r="E200" s="3" t="s">
        <v>16</v>
      </c>
      <c r="F200" s="3" t="s">
        <v>9</v>
      </c>
      <c r="G200" s="4">
        <v>13430.27</v>
      </c>
      <c r="H200">
        <f t="shared" si="7"/>
        <v>4</v>
      </c>
      <c r="I200" s="6">
        <f t="shared" si="8"/>
        <v>3357.5675000000001</v>
      </c>
      <c r="L200" s="19"/>
      <c r="O200" s="2"/>
      <c r="P200" s="3"/>
      <c r="Q200" s="2"/>
      <c r="R200" s="2"/>
      <c r="S200" s="3"/>
      <c r="T200" s="3"/>
      <c r="U200" s="4"/>
      <c r="W200" s="6"/>
    </row>
    <row r="201" spans="1:23" ht="15" thickBot="1" x14ac:dyDescent="0.35">
      <c r="A201" s="2">
        <v>56</v>
      </c>
      <c r="B201" s="3" t="s">
        <v>14</v>
      </c>
      <c r="C201" s="2">
        <v>26.7</v>
      </c>
      <c r="D201" s="2">
        <v>1</v>
      </c>
      <c r="E201" s="3" t="s">
        <v>17</v>
      </c>
      <c r="F201" s="3" t="s">
        <v>7</v>
      </c>
      <c r="G201" s="4">
        <v>26109.33</v>
      </c>
      <c r="H201">
        <f t="shared" si="7"/>
        <v>2</v>
      </c>
      <c r="I201" s="6">
        <f t="shared" si="8"/>
        <v>13054.665000000001</v>
      </c>
      <c r="L201" s="19"/>
      <c r="O201" s="2"/>
      <c r="P201" s="3"/>
      <c r="Q201" s="2"/>
      <c r="R201" s="2"/>
      <c r="S201" s="3"/>
      <c r="T201" s="3"/>
      <c r="U201" s="4"/>
      <c r="W201" s="6"/>
    </row>
    <row r="202" spans="1:23" ht="15" thickBot="1" x14ac:dyDescent="0.35">
      <c r="A202" s="2">
        <v>56</v>
      </c>
      <c r="B202" s="3" t="s">
        <v>15</v>
      </c>
      <c r="C202" s="2">
        <v>25.7</v>
      </c>
      <c r="D202" s="2">
        <v>0</v>
      </c>
      <c r="E202" s="3" t="s">
        <v>16</v>
      </c>
      <c r="F202" s="3" t="s">
        <v>7</v>
      </c>
      <c r="G202" s="4">
        <v>11454.02</v>
      </c>
      <c r="H202">
        <f t="shared" si="7"/>
        <v>1</v>
      </c>
      <c r="I202" s="6">
        <f t="shared" si="8"/>
        <v>11454.02</v>
      </c>
      <c r="L202" s="19"/>
      <c r="O202" s="2"/>
      <c r="P202" s="3"/>
      <c r="Q202" s="2"/>
      <c r="R202" s="2"/>
      <c r="S202" s="3"/>
      <c r="T202" s="3"/>
      <c r="U202" s="4"/>
      <c r="W202" s="6"/>
    </row>
    <row r="203" spans="1:23" ht="15" thickBot="1" x14ac:dyDescent="0.35">
      <c r="A203" s="2">
        <v>56</v>
      </c>
      <c r="B203" s="3" t="s">
        <v>14</v>
      </c>
      <c r="C203" s="2">
        <v>39.6</v>
      </c>
      <c r="D203" s="2">
        <v>0</v>
      </c>
      <c r="E203" s="3" t="s">
        <v>16</v>
      </c>
      <c r="F203" s="3" t="s">
        <v>8</v>
      </c>
      <c r="G203" s="4">
        <v>10601.41</v>
      </c>
      <c r="H203">
        <f t="shared" si="7"/>
        <v>1</v>
      </c>
      <c r="I203" s="6">
        <f t="shared" si="8"/>
        <v>10601.41</v>
      </c>
      <c r="L203" s="19"/>
      <c r="O203" s="2"/>
      <c r="P203" s="3"/>
      <c r="Q203" s="2"/>
      <c r="R203" s="2"/>
      <c r="S203" s="3"/>
      <c r="T203" s="3"/>
      <c r="U203" s="4"/>
      <c r="W203" s="6"/>
    </row>
    <row r="204" spans="1:23" ht="15" thickBot="1" x14ac:dyDescent="0.35">
      <c r="A204" s="2">
        <v>56</v>
      </c>
      <c r="B204" s="3" t="s">
        <v>14</v>
      </c>
      <c r="C204" s="2">
        <v>25.9</v>
      </c>
      <c r="D204" s="2">
        <v>0</v>
      </c>
      <c r="E204" s="3" t="s">
        <v>16</v>
      </c>
      <c r="F204" s="3" t="s">
        <v>9</v>
      </c>
      <c r="G204" s="4">
        <v>11165.42</v>
      </c>
      <c r="H204">
        <f t="shared" si="7"/>
        <v>1</v>
      </c>
      <c r="I204" s="6">
        <f t="shared" si="8"/>
        <v>11165.42</v>
      </c>
      <c r="L204" s="19"/>
      <c r="O204" s="2"/>
      <c r="P204" s="3"/>
      <c r="Q204" s="2"/>
      <c r="R204" s="2"/>
      <c r="S204" s="3"/>
      <c r="T204" s="3"/>
      <c r="U204" s="4"/>
      <c r="W204" s="6"/>
    </row>
    <row r="205" spans="1:23" ht="15" thickBot="1" x14ac:dyDescent="0.35">
      <c r="A205" s="2">
        <v>56</v>
      </c>
      <c r="B205" s="3" t="s">
        <v>15</v>
      </c>
      <c r="C205" s="2">
        <v>33.799999999999997</v>
      </c>
      <c r="D205" s="2">
        <v>2</v>
      </c>
      <c r="E205" s="3" t="s">
        <v>16</v>
      </c>
      <c r="F205" s="3" t="s">
        <v>7</v>
      </c>
      <c r="G205" s="4">
        <v>12643.38</v>
      </c>
      <c r="H205">
        <f t="shared" si="7"/>
        <v>3</v>
      </c>
      <c r="I205" s="6">
        <f t="shared" si="8"/>
        <v>4214.46</v>
      </c>
      <c r="L205" s="19"/>
      <c r="O205" s="2"/>
      <c r="P205" s="3"/>
      <c r="Q205" s="2"/>
      <c r="R205" s="2"/>
      <c r="S205" s="3"/>
      <c r="T205" s="3"/>
      <c r="U205" s="4"/>
      <c r="W205" s="6"/>
    </row>
    <row r="206" spans="1:23" ht="15" thickBot="1" x14ac:dyDescent="0.35">
      <c r="A206" s="2">
        <v>56</v>
      </c>
      <c r="B206" s="3" t="s">
        <v>14</v>
      </c>
      <c r="C206" s="2">
        <v>32.1</v>
      </c>
      <c r="D206" s="2">
        <v>1</v>
      </c>
      <c r="E206" s="3" t="s">
        <v>16</v>
      </c>
      <c r="F206" s="3" t="s">
        <v>9</v>
      </c>
      <c r="G206" s="4">
        <v>11763</v>
      </c>
      <c r="H206">
        <f t="shared" si="7"/>
        <v>2</v>
      </c>
      <c r="I206" s="6">
        <f t="shared" si="8"/>
        <v>5881.5</v>
      </c>
      <c r="L206" s="19"/>
      <c r="O206" s="2"/>
      <c r="P206" s="3"/>
      <c r="Q206" s="2"/>
      <c r="R206" s="2"/>
      <c r="S206" s="3"/>
      <c r="T206" s="3"/>
      <c r="U206" s="4"/>
      <c r="W206" s="6"/>
    </row>
    <row r="207" spans="1:23" ht="15" thickBot="1" x14ac:dyDescent="0.35">
      <c r="A207" s="2">
        <v>56</v>
      </c>
      <c r="B207" s="3" t="s">
        <v>15</v>
      </c>
      <c r="C207" s="2">
        <v>25.3</v>
      </c>
      <c r="D207" s="2">
        <v>0</v>
      </c>
      <c r="E207" s="3" t="s">
        <v>16</v>
      </c>
      <c r="F207" s="3" t="s">
        <v>8</v>
      </c>
      <c r="G207" s="4">
        <v>11070.54</v>
      </c>
      <c r="H207">
        <f t="shared" si="7"/>
        <v>1</v>
      </c>
      <c r="I207" s="6">
        <f t="shared" si="8"/>
        <v>11070.54</v>
      </c>
      <c r="L207" s="19"/>
      <c r="O207" s="2"/>
      <c r="P207" s="3"/>
      <c r="Q207" s="2"/>
      <c r="R207" s="2"/>
      <c r="S207" s="3"/>
      <c r="T207" s="3"/>
      <c r="U207" s="4"/>
      <c r="W207" s="6"/>
    </row>
    <row r="208" spans="1:23" ht="15" thickBot="1" x14ac:dyDescent="0.35">
      <c r="A208" s="2">
        <v>56</v>
      </c>
      <c r="B208" s="3" t="s">
        <v>15</v>
      </c>
      <c r="C208" s="2">
        <v>28.6</v>
      </c>
      <c r="D208" s="2">
        <v>0</v>
      </c>
      <c r="E208" s="3" t="s">
        <v>16</v>
      </c>
      <c r="F208" s="3" t="s">
        <v>9</v>
      </c>
      <c r="G208" s="4">
        <v>11658.12</v>
      </c>
      <c r="H208">
        <f t="shared" si="7"/>
        <v>1</v>
      </c>
      <c r="I208" s="6">
        <f t="shared" si="8"/>
        <v>11658.12</v>
      </c>
      <c r="L208" s="19"/>
      <c r="O208" s="2"/>
      <c r="P208" s="3"/>
      <c r="Q208" s="2"/>
      <c r="R208" s="2"/>
      <c r="S208" s="3"/>
      <c r="T208" s="3"/>
      <c r="U208" s="4"/>
      <c r="W208" s="6"/>
    </row>
    <row r="209" spans="1:23" ht="15" thickBot="1" x14ac:dyDescent="0.35">
      <c r="A209" s="2">
        <v>56</v>
      </c>
      <c r="B209" s="3" t="s">
        <v>14</v>
      </c>
      <c r="C209" s="2">
        <v>33.700000000000003</v>
      </c>
      <c r="D209" s="2">
        <v>4</v>
      </c>
      <c r="E209" s="3" t="s">
        <v>16</v>
      </c>
      <c r="F209" s="3" t="s">
        <v>10</v>
      </c>
      <c r="G209" s="4">
        <v>12949.16</v>
      </c>
      <c r="H209">
        <f t="shared" si="7"/>
        <v>5</v>
      </c>
      <c r="I209" s="6">
        <f t="shared" si="8"/>
        <v>2589.8319999999999</v>
      </c>
      <c r="L209" s="19"/>
      <c r="O209" s="2"/>
      <c r="P209" s="3"/>
      <c r="Q209" s="2"/>
      <c r="R209" s="2"/>
      <c r="S209" s="3"/>
      <c r="T209" s="3"/>
      <c r="U209" s="4"/>
      <c r="W209" s="6"/>
    </row>
    <row r="210" spans="1:23" ht="15" thickBot="1" x14ac:dyDescent="0.35">
      <c r="A210" s="2">
        <v>56</v>
      </c>
      <c r="B210" s="3" t="s">
        <v>14</v>
      </c>
      <c r="C210" s="2">
        <v>36.1</v>
      </c>
      <c r="D210" s="2">
        <v>3</v>
      </c>
      <c r="E210" s="3" t="s">
        <v>16</v>
      </c>
      <c r="F210" s="3" t="s">
        <v>8</v>
      </c>
      <c r="G210" s="4">
        <v>12363.55</v>
      </c>
      <c r="H210">
        <f t="shared" si="7"/>
        <v>4</v>
      </c>
      <c r="I210" s="6">
        <f t="shared" si="8"/>
        <v>3090.8874999999998</v>
      </c>
      <c r="L210" s="19"/>
      <c r="O210" s="2"/>
      <c r="P210" s="3"/>
      <c r="Q210" s="2"/>
      <c r="R210" s="2"/>
      <c r="S210" s="3"/>
      <c r="T210" s="3"/>
      <c r="U210" s="4"/>
      <c r="W210" s="6"/>
    </row>
    <row r="211" spans="1:23" ht="15" thickBot="1" x14ac:dyDescent="0.35">
      <c r="A211" s="2">
        <v>56</v>
      </c>
      <c r="B211" s="3" t="s">
        <v>14</v>
      </c>
      <c r="C211" s="2">
        <v>33.700000000000003</v>
      </c>
      <c r="D211" s="2">
        <v>0</v>
      </c>
      <c r="E211" s="3" t="s">
        <v>16</v>
      </c>
      <c r="F211" s="3" t="s">
        <v>7</v>
      </c>
      <c r="G211" s="4">
        <v>10976.25</v>
      </c>
      <c r="H211">
        <f t="shared" si="7"/>
        <v>1</v>
      </c>
      <c r="I211" s="6">
        <f t="shared" si="8"/>
        <v>10976.25</v>
      </c>
      <c r="L211" s="19"/>
      <c r="O211" s="2"/>
      <c r="P211" s="3"/>
      <c r="Q211" s="2"/>
      <c r="R211" s="2"/>
      <c r="S211" s="3"/>
      <c r="T211" s="3"/>
      <c r="U211" s="4"/>
      <c r="W211" s="6"/>
    </row>
    <row r="212" spans="1:23" ht="15" thickBot="1" x14ac:dyDescent="0.35">
      <c r="A212" s="2">
        <v>56</v>
      </c>
      <c r="B212" s="3" t="s">
        <v>14</v>
      </c>
      <c r="C212" s="2">
        <v>31.8</v>
      </c>
      <c r="D212" s="2">
        <v>2</v>
      </c>
      <c r="E212" s="3" t="s">
        <v>17</v>
      </c>
      <c r="F212" s="3" t="s">
        <v>10</v>
      </c>
      <c r="G212" s="4">
        <v>43813.87</v>
      </c>
      <c r="H212">
        <f t="shared" si="7"/>
        <v>3</v>
      </c>
      <c r="I212" s="6">
        <f t="shared" si="8"/>
        <v>14604.623333333335</v>
      </c>
      <c r="L212" s="19"/>
      <c r="O212" s="2"/>
      <c r="P212" s="3"/>
      <c r="Q212" s="2"/>
      <c r="R212" s="2"/>
      <c r="S212" s="3"/>
      <c r="T212" s="3"/>
      <c r="U212" s="4"/>
      <c r="W212" s="6"/>
    </row>
    <row r="213" spans="1:23" ht="15" thickBot="1" x14ac:dyDescent="0.35">
      <c r="A213" s="2">
        <v>56</v>
      </c>
      <c r="B213" s="3" t="s">
        <v>15</v>
      </c>
      <c r="C213" s="2">
        <v>28.3</v>
      </c>
      <c r="D213" s="2">
        <v>0</v>
      </c>
      <c r="E213" s="3" t="s">
        <v>16</v>
      </c>
      <c r="F213" s="3" t="s">
        <v>9</v>
      </c>
      <c r="G213" s="4">
        <v>11657.72</v>
      </c>
      <c r="H213">
        <f t="shared" si="7"/>
        <v>1</v>
      </c>
      <c r="I213" s="6">
        <f t="shared" si="8"/>
        <v>11657.72</v>
      </c>
      <c r="L213" s="19"/>
      <c r="O213" s="2"/>
      <c r="P213" s="3"/>
      <c r="Q213" s="2"/>
      <c r="R213" s="2"/>
      <c r="S213" s="3"/>
      <c r="T213" s="3"/>
      <c r="U213" s="4"/>
      <c r="W213" s="6"/>
    </row>
    <row r="214" spans="1:23" ht="15" thickBot="1" x14ac:dyDescent="0.35">
      <c r="A214" s="2">
        <v>56</v>
      </c>
      <c r="B214" s="3" t="s">
        <v>15</v>
      </c>
      <c r="C214" s="2">
        <v>35.799999999999997</v>
      </c>
      <c r="D214" s="2">
        <v>1</v>
      </c>
      <c r="E214" s="3" t="s">
        <v>16</v>
      </c>
      <c r="F214" s="3" t="s">
        <v>8</v>
      </c>
      <c r="G214" s="4">
        <v>11674.13</v>
      </c>
      <c r="H214">
        <f t="shared" si="7"/>
        <v>2</v>
      </c>
      <c r="I214" s="6">
        <f t="shared" si="8"/>
        <v>5837.0649999999996</v>
      </c>
      <c r="L214" s="19"/>
      <c r="O214" s="2"/>
      <c r="P214" s="3"/>
      <c r="Q214" s="2"/>
      <c r="R214" s="2"/>
      <c r="S214" s="3"/>
      <c r="T214" s="3"/>
      <c r="U214" s="4"/>
      <c r="W214" s="6"/>
    </row>
    <row r="215" spans="1:23" ht="15" thickBot="1" x14ac:dyDescent="0.35">
      <c r="A215" s="2">
        <v>56</v>
      </c>
      <c r="B215" s="3" t="s">
        <v>14</v>
      </c>
      <c r="C215" s="2">
        <v>22.1</v>
      </c>
      <c r="D215" s="2">
        <v>0</v>
      </c>
      <c r="E215" s="3" t="s">
        <v>16</v>
      </c>
      <c r="F215" s="3" t="s">
        <v>8</v>
      </c>
      <c r="G215" s="4">
        <v>10577.09</v>
      </c>
      <c r="H215">
        <f t="shared" si="7"/>
        <v>1</v>
      </c>
      <c r="I215" s="6">
        <f t="shared" si="8"/>
        <v>10577.09</v>
      </c>
      <c r="L215" s="19"/>
      <c r="O215" s="2"/>
      <c r="P215" s="3"/>
      <c r="Q215" s="2"/>
      <c r="R215" s="2"/>
      <c r="S215" s="3"/>
      <c r="T215" s="3"/>
      <c r="U215" s="4"/>
      <c r="W215" s="6"/>
    </row>
    <row r="216" spans="1:23" ht="15" thickBot="1" x14ac:dyDescent="0.35">
      <c r="A216" s="2">
        <v>56</v>
      </c>
      <c r="B216" s="3" t="s">
        <v>15</v>
      </c>
      <c r="C216" s="2">
        <v>41.9</v>
      </c>
      <c r="D216" s="2">
        <v>0</v>
      </c>
      <c r="E216" s="3" t="s">
        <v>16</v>
      </c>
      <c r="F216" s="3" t="s">
        <v>10</v>
      </c>
      <c r="G216" s="4">
        <v>11093.62</v>
      </c>
      <c r="H216">
        <f t="shared" si="7"/>
        <v>1</v>
      </c>
      <c r="I216" s="6">
        <f t="shared" si="8"/>
        <v>11093.62</v>
      </c>
      <c r="L216" s="19"/>
      <c r="O216" s="2"/>
      <c r="P216" s="3"/>
      <c r="Q216" s="2"/>
      <c r="R216" s="2"/>
      <c r="S216" s="3"/>
      <c r="T216" s="3"/>
      <c r="U216" s="4"/>
      <c r="W216" s="6"/>
    </row>
    <row r="217" spans="1:23" ht="15" thickBot="1" x14ac:dyDescent="0.35">
      <c r="A217" s="2">
        <v>56</v>
      </c>
      <c r="B217" s="3" t="s">
        <v>14</v>
      </c>
      <c r="C217" s="2">
        <v>34.4</v>
      </c>
      <c r="D217" s="2">
        <v>0</v>
      </c>
      <c r="E217" s="3" t="s">
        <v>16</v>
      </c>
      <c r="F217" s="3" t="s">
        <v>10</v>
      </c>
      <c r="G217" s="4">
        <v>10594.23</v>
      </c>
      <c r="H217">
        <f t="shared" si="7"/>
        <v>1</v>
      </c>
      <c r="I217" s="6">
        <f t="shared" si="8"/>
        <v>10594.23</v>
      </c>
      <c r="L217" s="19"/>
      <c r="O217" s="2"/>
      <c r="P217" s="3"/>
      <c r="Q217" s="2"/>
      <c r="R217" s="2"/>
      <c r="S217" s="3"/>
      <c r="T217" s="3"/>
      <c r="U217" s="4"/>
      <c r="W217" s="6"/>
    </row>
    <row r="218" spans="1:23" ht="15" thickBot="1" x14ac:dyDescent="0.35">
      <c r="A218" s="2">
        <v>55</v>
      </c>
      <c r="B218" s="3" t="s">
        <v>15</v>
      </c>
      <c r="C218" s="2">
        <v>32.799999999999997</v>
      </c>
      <c r="D218" s="2">
        <v>2</v>
      </c>
      <c r="E218" s="3" t="s">
        <v>16</v>
      </c>
      <c r="F218" s="3" t="s">
        <v>7</v>
      </c>
      <c r="G218" s="4">
        <v>12268.63</v>
      </c>
      <c r="H218">
        <f t="shared" si="7"/>
        <v>3</v>
      </c>
      <c r="I218" s="6">
        <f t="shared" si="8"/>
        <v>4089.5433333333331</v>
      </c>
      <c r="L218" s="19"/>
      <c r="O218" s="2"/>
      <c r="P218" s="3"/>
      <c r="Q218" s="2"/>
      <c r="R218" s="2"/>
      <c r="S218" s="3"/>
      <c r="T218" s="3"/>
      <c r="U218" s="4"/>
      <c r="W218" s="6"/>
    </row>
    <row r="219" spans="1:23" ht="15" thickBot="1" x14ac:dyDescent="0.35">
      <c r="A219" s="2">
        <v>55</v>
      </c>
      <c r="B219" s="3" t="s">
        <v>14</v>
      </c>
      <c r="C219" s="2">
        <v>37.299999999999997</v>
      </c>
      <c r="D219" s="2">
        <v>0</v>
      </c>
      <c r="E219" s="3" t="s">
        <v>16</v>
      </c>
      <c r="F219" s="3" t="s">
        <v>8</v>
      </c>
      <c r="G219" s="4">
        <v>20630.28</v>
      </c>
      <c r="H219">
        <f t="shared" si="7"/>
        <v>1</v>
      </c>
      <c r="I219" s="6">
        <f t="shared" si="8"/>
        <v>20630.28</v>
      </c>
      <c r="L219" s="19"/>
      <c r="O219" s="2"/>
      <c r="P219" s="3"/>
      <c r="Q219" s="2"/>
      <c r="R219" s="2"/>
      <c r="S219" s="3"/>
      <c r="T219" s="3"/>
      <c r="U219" s="4"/>
      <c r="W219" s="6"/>
    </row>
    <row r="220" spans="1:23" ht="15" thickBot="1" x14ac:dyDescent="0.35">
      <c r="A220" s="2">
        <v>55</v>
      </c>
      <c r="B220" s="3" t="s">
        <v>15</v>
      </c>
      <c r="C220" s="2">
        <v>27</v>
      </c>
      <c r="D220" s="2">
        <v>0</v>
      </c>
      <c r="E220" s="3" t="s">
        <v>16</v>
      </c>
      <c r="F220" s="3" t="s">
        <v>7</v>
      </c>
      <c r="G220" s="4">
        <v>11082.58</v>
      </c>
      <c r="H220">
        <f t="shared" si="7"/>
        <v>1</v>
      </c>
      <c r="I220" s="6">
        <f t="shared" si="8"/>
        <v>11082.58</v>
      </c>
      <c r="L220" s="19"/>
      <c r="O220" s="2"/>
      <c r="P220" s="3"/>
      <c r="Q220" s="2"/>
      <c r="R220" s="2"/>
      <c r="S220" s="3"/>
      <c r="T220" s="3"/>
      <c r="U220" s="4"/>
      <c r="W220" s="6"/>
    </row>
    <row r="221" spans="1:23" ht="15" thickBot="1" x14ac:dyDescent="0.35">
      <c r="A221" s="2">
        <v>55</v>
      </c>
      <c r="B221" s="3" t="s">
        <v>14</v>
      </c>
      <c r="C221" s="2">
        <v>38.299999999999997</v>
      </c>
      <c r="D221" s="2">
        <v>0</v>
      </c>
      <c r="E221" s="3" t="s">
        <v>16</v>
      </c>
      <c r="F221" s="3" t="s">
        <v>10</v>
      </c>
      <c r="G221" s="4">
        <v>10226.280000000001</v>
      </c>
      <c r="H221">
        <f t="shared" si="7"/>
        <v>1</v>
      </c>
      <c r="I221" s="6">
        <f t="shared" si="8"/>
        <v>10226.280000000001</v>
      </c>
      <c r="L221" s="19"/>
      <c r="O221" s="2"/>
      <c r="P221" s="3"/>
      <c r="Q221" s="2"/>
      <c r="R221" s="2"/>
      <c r="S221" s="3"/>
      <c r="T221" s="3"/>
      <c r="U221" s="4"/>
      <c r="W221" s="6"/>
    </row>
    <row r="222" spans="1:23" ht="15" thickBot="1" x14ac:dyDescent="0.35">
      <c r="A222" s="2">
        <v>55</v>
      </c>
      <c r="B222" s="3" t="s">
        <v>15</v>
      </c>
      <c r="C222" s="2">
        <v>29.7</v>
      </c>
      <c r="D222" s="2">
        <v>2</v>
      </c>
      <c r="E222" s="3" t="s">
        <v>16</v>
      </c>
      <c r="F222" s="3" t="s">
        <v>8</v>
      </c>
      <c r="G222" s="4">
        <v>11881.36</v>
      </c>
      <c r="H222">
        <f t="shared" si="7"/>
        <v>3</v>
      </c>
      <c r="I222" s="6">
        <f t="shared" si="8"/>
        <v>3960.4533333333334</v>
      </c>
      <c r="L222" s="19"/>
      <c r="O222" s="2"/>
      <c r="P222" s="3"/>
      <c r="Q222" s="2"/>
      <c r="R222" s="2"/>
      <c r="S222" s="3"/>
      <c r="T222" s="3"/>
      <c r="U222" s="4"/>
      <c r="W222" s="6"/>
    </row>
    <row r="223" spans="1:23" ht="15" thickBot="1" x14ac:dyDescent="0.35">
      <c r="A223" s="2">
        <v>55</v>
      </c>
      <c r="B223" s="3" t="s">
        <v>14</v>
      </c>
      <c r="C223" s="2">
        <v>33.9</v>
      </c>
      <c r="D223" s="2">
        <v>3</v>
      </c>
      <c r="E223" s="3" t="s">
        <v>16</v>
      </c>
      <c r="F223" s="3" t="s">
        <v>10</v>
      </c>
      <c r="G223" s="4">
        <v>11987.17</v>
      </c>
      <c r="H223">
        <f t="shared" si="7"/>
        <v>4</v>
      </c>
      <c r="I223" s="6">
        <f t="shared" si="8"/>
        <v>2996.7925</v>
      </c>
      <c r="L223" s="19"/>
      <c r="O223" s="2"/>
      <c r="P223" s="3"/>
      <c r="Q223" s="2"/>
      <c r="R223" s="2"/>
      <c r="S223" s="3"/>
      <c r="T223" s="3"/>
      <c r="U223" s="4"/>
      <c r="W223" s="6"/>
    </row>
    <row r="224" spans="1:23" ht="15" thickBot="1" x14ac:dyDescent="0.35">
      <c r="A224" s="2">
        <v>55</v>
      </c>
      <c r="B224" s="3" t="s">
        <v>15</v>
      </c>
      <c r="C224" s="2">
        <v>26.8</v>
      </c>
      <c r="D224" s="2">
        <v>1</v>
      </c>
      <c r="E224" s="3" t="s">
        <v>16</v>
      </c>
      <c r="F224" s="3" t="s">
        <v>8</v>
      </c>
      <c r="G224" s="4">
        <v>35160.129999999997</v>
      </c>
      <c r="H224">
        <f t="shared" si="7"/>
        <v>2</v>
      </c>
      <c r="I224" s="6">
        <f t="shared" si="8"/>
        <v>17580.064999999999</v>
      </c>
      <c r="L224" s="19"/>
      <c r="O224" s="2"/>
      <c r="P224" s="3"/>
      <c r="Q224" s="2"/>
      <c r="R224" s="2"/>
      <c r="S224" s="3"/>
      <c r="T224" s="3"/>
      <c r="U224" s="4"/>
      <c r="W224" s="6"/>
    </row>
    <row r="225" spans="1:23" ht="15" thickBot="1" x14ac:dyDescent="0.35">
      <c r="A225" s="2">
        <v>55</v>
      </c>
      <c r="B225" s="3" t="s">
        <v>15</v>
      </c>
      <c r="C225" s="2">
        <v>25.4</v>
      </c>
      <c r="D225" s="2">
        <v>3</v>
      </c>
      <c r="E225" s="3" t="s">
        <v>16</v>
      </c>
      <c r="F225" s="3" t="s">
        <v>9</v>
      </c>
      <c r="G225" s="4">
        <v>13047.33</v>
      </c>
      <c r="H225">
        <f t="shared" si="7"/>
        <v>4</v>
      </c>
      <c r="I225" s="6">
        <f t="shared" si="8"/>
        <v>3261.8325</v>
      </c>
      <c r="L225" s="19"/>
      <c r="O225" s="2"/>
      <c r="P225" s="3"/>
      <c r="Q225" s="2"/>
      <c r="R225" s="2"/>
      <c r="S225" s="3"/>
      <c r="T225" s="3"/>
      <c r="U225" s="4"/>
      <c r="W225" s="6"/>
    </row>
    <row r="226" spans="1:23" ht="15" thickBot="1" x14ac:dyDescent="0.35">
      <c r="A226" s="2">
        <v>55</v>
      </c>
      <c r="B226" s="3" t="s">
        <v>15</v>
      </c>
      <c r="C226" s="2">
        <v>32.4</v>
      </c>
      <c r="D226" s="2">
        <v>1</v>
      </c>
      <c r="E226" s="3" t="s">
        <v>16</v>
      </c>
      <c r="F226" s="3" t="s">
        <v>9</v>
      </c>
      <c r="G226" s="4">
        <v>11879.1</v>
      </c>
      <c r="H226">
        <f t="shared" si="7"/>
        <v>2</v>
      </c>
      <c r="I226" s="6">
        <f t="shared" si="8"/>
        <v>5939.55</v>
      </c>
      <c r="L226" s="19"/>
      <c r="O226" s="2"/>
      <c r="P226" s="3"/>
      <c r="Q226" s="2"/>
      <c r="R226" s="2"/>
      <c r="S226" s="3"/>
      <c r="T226" s="3"/>
      <c r="U226" s="4"/>
      <c r="W226" s="6"/>
    </row>
    <row r="227" spans="1:23" ht="15" thickBot="1" x14ac:dyDescent="0.35">
      <c r="A227" s="2">
        <v>55</v>
      </c>
      <c r="B227" s="3" t="s">
        <v>14</v>
      </c>
      <c r="C227" s="2">
        <v>30.7</v>
      </c>
      <c r="D227" s="2">
        <v>0</v>
      </c>
      <c r="E227" s="3" t="s">
        <v>17</v>
      </c>
      <c r="F227" s="3" t="s">
        <v>9</v>
      </c>
      <c r="G227" s="4">
        <v>42303.69</v>
      </c>
      <c r="H227">
        <f t="shared" si="7"/>
        <v>1</v>
      </c>
      <c r="I227" s="6">
        <f t="shared" si="8"/>
        <v>42303.69</v>
      </c>
      <c r="L227" s="19"/>
      <c r="O227" s="2"/>
      <c r="P227" s="3"/>
      <c r="Q227" s="2"/>
      <c r="R227" s="2"/>
      <c r="S227" s="3"/>
      <c r="T227" s="3"/>
      <c r="U227" s="4"/>
      <c r="W227" s="6"/>
    </row>
    <row r="228" spans="1:23" ht="15" thickBot="1" x14ac:dyDescent="0.35">
      <c r="A228" s="2">
        <v>55</v>
      </c>
      <c r="B228" s="3" t="s">
        <v>14</v>
      </c>
      <c r="C228" s="2">
        <v>33</v>
      </c>
      <c r="D228" s="2">
        <v>0</v>
      </c>
      <c r="E228" s="3" t="s">
        <v>16</v>
      </c>
      <c r="F228" s="3" t="s">
        <v>10</v>
      </c>
      <c r="G228" s="4">
        <v>20781.490000000002</v>
      </c>
      <c r="H228">
        <f t="shared" si="7"/>
        <v>1</v>
      </c>
      <c r="I228" s="6">
        <f t="shared" si="8"/>
        <v>20781.490000000002</v>
      </c>
      <c r="L228" s="19"/>
      <c r="O228" s="2"/>
      <c r="P228" s="3"/>
      <c r="Q228" s="2"/>
      <c r="R228" s="2"/>
      <c r="S228" s="3"/>
      <c r="T228" s="3"/>
      <c r="U228" s="4"/>
      <c r="W228" s="6"/>
    </row>
    <row r="229" spans="1:23" ht="15" thickBot="1" x14ac:dyDescent="0.35">
      <c r="A229" s="2">
        <v>55</v>
      </c>
      <c r="B229" s="3" t="s">
        <v>15</v>
      </c>
      <c r="C229" s="2">
        <v>30.1</v>
      </c>
      <c r="D229" s="2">
        <v>2</v>
      </c>
      <c r="E229" s="3" t="s">
        <v>16</v>
      </c>
      <c r="F229" s="3" t="s">
        <v>10</v>
      </c>
      <c r="G229" s="4">
        <v>11881.97</v>
      </c>
      <c r="H229">
        <f t="shared" si="7"/>
        <v>3</v>
      </c>
      <c r="I229" s="6">
        <f t="shared" si="8"/>
        <v>3960.6566666666663</v>
      </c>
      <c r="L229" s="19"/>
      <c r="O229" s="2"/>
      <c r="P229" s="3"/>
      <c r="Q229" s="2"/>
      <c r="R229" s="2"/>
      <c r="S229" s="3"/>
      <c r="T229" s="3"/>
      <c r="U229" s="4"/>
      <c r="W229" s="6"/>
    </row>
    <row r="230" spans="1:23" ht="15" thickBot="1" x14ac:dyDescent="0.35">
      <c r="A230" s="2">
        <v>55</v>
      </c>
      <c r="B230" s="3" t="s">
        <v>15</v>
      </c>
      <c r="C230" s="2">
        <v>37.1</v>
      </c>
      <c r="D230" s="2">
        <v>0</v>
      </c>
      <c r="E230" s="3" t="s">
        <v>16</v>
      </c>
      <c r="F230" s="3" t="s">
        <v>8</v>
      </c>
      <c r="G230" s="4">
        <v>10713.64</v>
      </c>
      <c r="H230">
        <f t="shared" si="7"/>
        <v>1</v>
      </c>
      <c r="I230" s="6">
        <f t="shared" si="8"/>
        <v>10713.64</v>
      </c>
      <c r="L230" s="19"/>
      <c r="O230" s="2"/>
      <c r="P230" s="3"/>
      <c r="Q230" s="2"/>
      <c r="R230" s="2"/>
      <c r="S230" s="3"/>
      <c r="T230" s="3"/>
      <c r="U230" s="4"/>
      <c r="W230" s="6"/>
    </row>
    <row r="231" spans="1:23" ht="15" thickBot="1" x14ac:dyDescent="0.35">
      <c r="A231" s="2">
        <v>55</v>
      </c>
      <c r="B231" s="3" t="s">
        <v>15</v>
      </c>
      <c r="C231" s="2">
        <v>40.799999999999997</v>
      </c>
      <c r="D231" s="2">
        <v>3</v>
      </c>
      <c r="E231" s="3" t="s">
        <v>16</v>
      </c>
      <c r="F231" s="3" t="s">
        <v>10</v>
      </c>
      <c r="G231" s="4">
        <v>12485.8</v>
      </c>
      <c r="H231">
        <f t="shared" si="7"/>
        <v>4</v>
      </c>
      <c r="I231" s="6">
        <f t="shared" si="8"/>
        <v>3121.45</v>
      </c>
      <c r="L231" s="19"/>
      <c r="O231" s="2"/>
      <c r="P231" s="3"/>
      <c r="Q231" s="2"/>
      <c r="R231" s="2"/>
      <c r="S231" s="3"/>
      <c r="T231" s="3"/>
      <c r="U231" s="4"/>
      <c r="W231" s="6"/>
    </row>
    <row r="232" spans="1:23" ht="15" thickBot="1" x14ac:dyDescent="0.35">
      <c r="A232" s="2">
        <v>55</v>
      </c>
      <c r="B232" s="3" t="s">
        <v>14</v>
      </c>
      <c r="C232" s="2">
        <v>32.799999999999997</v>
      </c>
      <c r="D232" s="2">
        <v>0</v>
      </c>
      <c r="E232" s="3" t="s">
        <v>16</v>
      </c>
      <c r="F232" s="3" t="s">
        <v>7</v>
      </c>
      <c r="G232" s="4">
        <v>10601.63</v>
      </c>
      <c r="H232">
        <f t="shared" si="7"/>
        <v>1</v>
      </c>
      <c r="I232" s="6">
        <f t="shared" si="8"/>
        <v>10601.63</v>
      </c>
      <c r="L232" s="19"/>
      <c r="O232" s="2"/>
      <c r="P232" s="3"/>
      <c r="Q232" s="2"/>
      <c r="R232" s="2"/>
      <c r="S232" s="3"/>
      <c r="T232" s="3"/>
      <c r="U232" s="4"/>
      <c r="W232" s="6"/>
    </row>
    <row r="233" spans="1:23" ht="15" thickBot="1" x14ac:dyDescent="0.35">
      <c r="A233" s="2">
        <v>55</v>
      </c>
      <c r="B233" s="3" t="s">
        <v>15</v>
      </c>
      <c r="C233" s="2">
        <v>33.5</v>
      </c>
      <c r="D233" s="2">
        <v>2</v>
      </c>
      <c r="E233" s="3" t="s">
        <v>16</v>
      </c>
      <c r="F233" s="3" t="s">
        <v>7</v>
      </c>
      <c r="G233" s="4">
        <v>12269.69</v>
      </c>
      <c r="H233">
        <f t="shared" si="7"/>
        <v>3</v>
      </c>
      <c r="I233" s="6">
        <f t="shared" si="8"/>
        <v>4089.896666666667</v>
      </c>
      <c r="L233" s="19"/>
      <c r="O233" s="2"/>
      <c r="P233" s="3"/>
      <c r="Q233" s="2"/>
      <c r="R233" s="2"/>
      <c r="S233" s="3"/>
      <c r="T233" s="3"/>
      <c r="U233" s="4"/>
      <c r="W233" s="6"/>
    </row>
    <row r="234" spans="1:23" ht="15" thickBot="1" x14ac:dyDescent="0.35">
      <c r="A234" s="2">
        <v>55</v>
      </c>
      <c r="B234" s="3" t="s">
        <v>15</v>
      </c>
      <c r="C234" s="2">
        <v>35.200000000000003</v>
      </c>
      <c r="D234" s="2">
        <v>0</v>
      </c>
      <c r="E234" s="3" t="s">
        <v>17</v>
      </c>
      <c r="F234" s="3" t="s">
        <v>10</v>
      </c>
      <c r="G234" s="4">
        <v>44423.8</v>
      </c>
      <c r="H234">
        <f t="shared" si="7"/>
        <v>1</v>
      </c>
      <c r="I234" s="6">
        <f t="shared" si="8"/>
        <v>44423.8</v>
      </c>
      <c r="L234" s="19"/>
      <c r="O234" s="2"/>
      <c r="P234" s="3"/>
      <c r="Q234" s="2"/>
      <c r="R234" s="2"/>
      <c r="S234" s="3"/>
      <c r="T234" s="3"/>
      <c r="U234" s="4"/>
      <c r="W234" s="6"/>
    </row>
    <row r="235" spans="1:23" ht="15" thickBot="1" x14ac:dyDescent="0.35">
      <c r="A235" s="2">
        <v>55</v>
      </c>
      <c r="B235" s="3" t="s">
        <v>14</v>
      </c>
      <c r="C235" s="2">
        <v>35.200000000000003</v>
      </c>
      <c r="D235" s="2">
        <v>1</v>
      </c>
      <c r="E235" s="3" t="s">
        <v>16</v>
      </c>
      <c r="F235" s="3" t="s">
        <v>9</v>
      </c>
      <c r="G235" s="4">
        <v>11394.07</v>
      </c>
      <c r="H235">
        <f t="shared" si="7"/>
        <v>2</v>
      </c>
      <c r="I235" s="6">
        <f t="shared" si="8"/>
        <v>5697.0349999999999</v>
      </c>
      <c r="L235" s="19"/>
      <c r="O235" s="2"/>
      <c r="P235" s="3"/>
      <c r="Q235" s="2"/>
      <c r="R235" s="2"/>
      <c r="S235" s="3"/>
      <c r="T235" s="3"/>
      <c r="U235" s="4"/>
      <c r="W235" s="6"/>
    </row>
    <row r="236" spans="1:23" ht="15" thickBot="1" x14ac:dyDescent="0.35">
      <c r="A236" s="2">
        <v>55</v>
      </c>
      <c r="B236" s="3" t="s">
        <v>14</v>
      </c>
      <c r="C236" s="2">
        <v>27.6</v>
      </c>
      <c r="D236" s="2">
        <v>0</v>
      </c>
      <c r="E236" s="3" t="s">
        <v>16</v>
      </c>
      <c r="F236" s="3" t="s">
        <v>7</v>
      </c>
      <c r="G236" s="4">
        <v>10594.5</v>
      </c>
      <c r="H236">
        <f t="shared" si="7"/>
        <v>1</v>
      </c>
      <c r="I236" s="6">
        <f t="shared" si="8"/>
        <v>10594.5</v>
      </c>
      <c r="L236" s="19"/>
      <c r="O236" s="2"/>
      <c r="P236" s="3"/>
      <c r="Q236" s="2"/>
      <c r="R236" s="2"/>
      <c r="S236" s="3"/>
      <c r="T236" s="3"/>
      <c r="U236" s="4"/>
      <c r="W236" s="6"/>
    </row>
    <row r="237" spans="1:23" ht="15" thickBot="1" x14ac:dyDescent="0.35">
      <c r="A237" s="2">
        <v>55</v>
      </c>
      <c r="B237" s="3" t="s">
        <v>14</v>
      </c>
      <c r="C237" s="2">
        <v>29</v>
      </c>
      <c r="D237" s="2">
        <v>0</v>
      </c>
      <c r="E237" s="3" t="s">
        <v>16</v>
      </c>
      <c r="F237" s="3" t="s">
        <v>9</v>
      </c>
      <c r="G237" s="4">
        <v>10796.35</v>
      </c>
      <c r="H237">
        <f t="shared" si="7"/>
        <v>1</v>
      </c>
      <c r="I237" s="6">
        <f t="shared" si="8"/>
        <v>10796.35</v>
      </c>
      <c r="L237" s="19"/>
      <c r="O237" s="2"/>
      <c r="P237" s="3"/>
      <c r="Q237" s="2"/>
      <c r="R237" s="2"/>
      <c r="S237" s="3"/>
      <c r="T237" s="3"/>
      <c r="U237" s="4"/>
      <c r="W237" s="6"/>
    </row>
    <row r="238" spans="1:23" ht="15" thickBot="1" x14ac:dyDescent="0.35">
      <c r="A238" s="2">
        <v>55</v>
      </c>
      <c r="B238" s="3" t="s">
        <v>15</v>
      </c>
      <c r="C238" s="2">
        <v>29.8</v>
      </c>
      <c r="D238" s="2">
        <v>0</v>
      </c>
      <c r="E238" s="3" t="s">
        <v>16</v>
      </c>
      <c r="F238" s="3" t="s">
        <v>9</v>
      </c>
      <c r="G238" s="4">
        <v>11286.54</v>
      </c>
      <c r="H238">
        <f t="shared" si="7"/>
        <v>1</v>
      </c>
      <c r="I238" s="6">
        <f t="shared" si="8"/>
        <v>11286.54</v>
      </c>
      <c r="L238" s="19"/>
      <c r="O238" s="2"/>
      <c r="P238" s="3"/>
      <c r="Q238" s="2"/>
      <c r="R238" s="2"/>
      <c r="S238" s="3"/>
      <c r="T238" s="3"/>
      <c r="U238" s="4"/>
      <c r="W238" s="6"/>
    </row>
    <row r="239" spans="1:23" ht="15" thickBot="1" x14ac:dyDescent="0.35">
      <c r="A239" s="2">
        <v>55</v>
      </c>
      <c r="B239" s="3" t="s">
        <v>14</v>
      </c>
      <c r="C239" s="2">
        <v>32.700000000000003</v>
      </c>
      <c r="D239" s="2">
        <v>1</v>
      </c>
      <c r="E239" s="3" t="s">
        <v>16</v>
      </c>
      <c r="F239" s="3" t="s">
        <v>10</v>
      </c>
      <c r="G239" s="4">
        <v>10807.49</v>
      </c>
      <c r="H239">
        <f t="shared" si="7"/>
        <v>2</v>
      </c>
      <c r="I239" s="6">
        <f t="shared" si="8"/>
        <v>5403.7449999999999</v>
      </c>
      <c r="L239" s="19"/>
      <c r="O239" s="2"/>
      <c r="P239" s="3"/>
      <c r="Q239" s="2"/>
      <c r="R239" s="2"/>
      <c r="S239" s="3"/>
      <c r="T239" s="3"/>
      <c r="U239" s="4"/>
      <c r="W239" s="6"/>
    </row>
    <row r="240" spans="1:23" ht="15" thickBot="1" x14ac:dyDescent="0.35">
      <c r="A240" s="2">
        <v>55</v>
      </c>
      <c r="B240" s="3" t="s">
        <v>14</v>
      </c>
      <c r="C240" s="2">
        <v>29.9</v>
      </c>
      <c r="D240" s="2">
        <v>0</v>
      </c>
      <c r="E240" s="3" t="s">
        <v>16</v>
      </c>
      <c r="F240" s="3" t="s">
        <v>8</v>
      </c>
      <c r="G240" s="4">
        <v>10214.64</v>
      </c>
      <c r="H240">
        <f t="shared" si="7"/>
        <v>1</v>
      </c>
      <c r="I240" s="6">
        <f t="shared" si="8"/>
        <v>10214.64</v>
      </c>
      <c r="L240" s="19"/>
      <c r="O240" s="2"/>
      <c r="P240" s="3"/>
      <c r="Q240" s="2"/>
      <c r="R240" s="2"/>
      <c r="S240" s="3"/>
      <c r="T240" s="3"/>
      <c r="U240" s="4"/>
      <c r="W240" s="6"/>
    </row>
    <row r="241" spans="1:23" ht="15" thickBot="1" x14ac:dyDescent="0.35">
      <c r="A241" s="2">
        <v>55</v>
      </c>
      <c r="B241" s="3" t="s">
        <v>14</v>
      </c>
      <c r="C241" s="2">
        <v>21.5</v>
      </c>
      <c r="D241" s="2">
        <v>1</v>
      </c>
      <c r="E241" s="3" t="s">
        <v>16</v>
      </c>
      <c r="F241" s="3" t="s">
        <v>8</v>
      </c>
      <c r="G241" s="4">
        <v>10791.96</v>
      </c>
      <c r="H241">
        <f t="shared" si="7"/>
        <v>2</v>
      </c>
      <c r="I241" s="6">
        <f t="shared" si="8"/>
        <v>5395.98</v>
      </c>
      <c r="L241" s="19"/>
      <c r="O241" s="2"/>
      <c r="P241" s="3"/>
      <c r="Q241" s="2"/>
      <c r="R241" s="2"/>
      <c r="S241" s="3"/>
      <c r="T241" s="3"/>
      <c r="U241" s="4"/>
      <c r="W241" s="6"/>
    </row>
    <row r="242" spans="1:23" ht="15" thickBot="1" x14ac:dyDescent="0.35">
      <c r="A242" s="2">
        <v>55</v>
      </c>
      <c r="B242" s="3" t="s">
        <v>14</v>
      </c>
      <c r="C242" s="2">
        <v>37.700000000000003</v>
      </c>
      <c r="D242" s="2">
        <v>3</v>
      </c>
      <c r="E242" s="3" t="s">
        <v>16</v>
      </c>
      <c r="F242" s="3" t="s">
        <v>7</v>
      </c>
      <c r="G242" s="4">
        <v>30063.58</v>
      </c>
      <c r="H242">
        <f t="shared" si="7"/>
        <v>4</v>
      </c>
      <c r="I242" s="6">
        <f t="shared" si="8"/>
        <v>7515.8950000000004</v>
      </c>
      <c r="L242" s="19"/>
      <c r="O242" s="2"/>
      <c r="P242" s="3"/>
      <c r="Q242" s="2"/>
      <c r="R242" s="2"/>
      <c r="S242" s="3"/>
      <c r="T242" s="3"/>
      <c r="U242" s="4"/>
      <c r="W242" s="6"/>
    </row>
    <row r="243" spans="1:23" ht="15" thickBot="1" x14ac:dyDescent="0.35">
      <c r="A243" s="2">
        <v>55</v>
      </c>
      <c r="B243" s="3" t="s">
        <v>15</v>
      </c>
      <c r="C243" s="2">
        <v>30.5</v>
      </c>
      <c r="D243" s="2">
        <v>0</v>
      </c>
      <c r="E243" s="3" t="s">
        <v>16</v>
      </c>
      <c r="F243" s="3" t="s">
        <v>8</v>
      </c>
      <c r="G243" s="4">
        <v>10704.47</v>
      </c>
      <c r="H243">
        <f t="shared" si="7"/>
        <v>1</v>
      </c>
      <c r="I243" s="6">
        <f t="shared" si="8"/>
        <v>10704.47</v>
      </c>
      <c r="L243" s="19"/>
      <c r="O243" s="2"/>
      <c r="P243" s="3"/>
      <c r="Q243" s="2"/>
      <c r="R243" s="2"/>
      <c r="S243" s="3"/>
      <c r="T243" s="3"/>
      <c r="U243" s="4"/>
      <c r="W243" s="6"/>
    </row>
    <row r="244" spans="1:23" ht="15" thickBot="1" x14ac:dyDescent="0.35">
      <c r="A244" s="2">
        <v>54</v>
      </c>
      <c r="B244" s="3" t="s">
        <v>15</v>
      </c>
      <c r="C244" s="2">
        <v>30.8</v>
      </c>
      <c r="D244" s="2">
        <v>3</v>
      </c>
      <c r="E244" s="3" t="s">
        <v>16</v>
      </c>
      <c r="F244" s="3" t="s">
        <v>8</v>
      </c>
      <c r="G244" s="4">
        <v>12105.32</v>
      </c>
      <c r="H244">
        <f t="shared" si="7"/>
        <v>4</v>
      </c>
      <c r="I244" s="6">
        <f t="shared" si="8"/>
        <v>3026.33</v>
      </c>
      <c r="L244" s="19"/>
      <c r="O244" s="2"/>
      <c r="P244" s="3"/>
      <c r="Q244" s="2"/>
      <c r="R244" s="2"/>
      <c r="S244" s="3"/>
      <c r="T244" s="3"/>
      <c r="U244" s="4"/>
      <c r="W244" s="6"/>
    </row>
    <row r="245" spans="1:23" ht="15" thickBot="1" x14ac:dyDescent="0.35">
      <c r="A245" s="2">
        <v>54</v>
      </c>
      <c r="B245" s="3" t="s">
        <v>14</v>
      </c>
      <c r="C245" s="2">
        <v>33.6</v>
      </c>
      <c r="D245" s="2">
        <v>1</v>
      </c>
      <c r="E245" s="3" t="s">
        <v>16</v>
      </c>
      <c r="F245" s="3" t="s">
        <v>7</v>
      </c>
      <c r="G245" s="4">
        <v>10825.25</v>
      </c>
      <c r="H245">
        <f t="shared" si="7"/>
        <v>2</v>
      </c>
      <c r="I245" s="6">
        <f t="shared" si="8"/>
        <v>5412.625</v>
      </c>
      <c r="L245" s="19"/>
      <c r="O245" s="2"/>
      <c r="P245" s="3"/>
      <c r="Q245" s="2"/>
      <c r="R245" s="2"/>
      <c r="S245" s="3"/>
      <c r="T245" s="3"/>
      <c r="U245" s="4"/>
      <c r="W245" s="6"/>
    </row>
    <row r="246" spans="1:23" ht="15" thickBot="1" x14ac:dyDescent="0.35">
      <c r="A246" s="2">
        <v>54</v>
      </c>
      <c r="B246" s="3" t="s">
        <v>15</v>
      </c>
      <c r="C246" s="2">
        <v>31.9</v>
      </c>
      <c r="D246" s="2">
        <v>3</v>
      </c>
      <c r="E246" s="3" t="s">
        <v>16</v>
      </c>
      <c r="F246" s="3" t="s">
        <v>10</v>
      </c>
      <c r="G246" s="4">
        <v>27322.73</v>
      </c>
      <c r="H246">
        <f t="shared" si="7"/>
        <v>4</v>
      </c>
      <c r="I246" s="6">
        <f t="shared" si="8"/>
        <v>6830.6824999999999</v>
      </c>
      <c r="L246" s="19"/>
      <c r="O246" s="2"/>
      <c r="P246" s="3"/>
      <c r="Q246" s="2"/>
      <c r="R246" s="2"/>
      <c r="S246" s="3"/>
      <c r="T246" s="3"/>
      <c r="U246" s="4"/>
      <c r="W246" s="6"/>
    </row>
    <row r="247" spans="1:23" ht="15" thickBot="1" x14ac:dyDescent="0.35">
      <c r="A247" s="2">
        <v>54</v>
      </c>
      <c r="B247" s="3" t="s">
        <v>14</v>
      </c>
      <c r="C247" s="2">
        <v>39.6</v>
      </c>
      <c r="D247" s="2">
        <v>1</v>
      </c>
      <c r="E247" s="3" t="s">
        <v>16</v>
      </c>
      <c r="F247" s="3" t="s">
        <v>8</v>
      </c>
      <c r="G247" s="4">
        <v>10450.549999999999</v>
      </c>
      <c r="H247">
        <f t="shared" si="7"/>
        <v>2</v>
      </c>
      <c r="I247" s="6">
        <f t="shared" si="8"/>
        <v>5225.2749999999996</v>
      </c>
      <c r="L247" s="19"/>
      <c r="O247" s="2"/>
      <c r="P247" s="3"/>
      <c r="Q247" s="2"/>
      <c r="R247" s="2"/>
      <c r="S247" s="3"/>
      <c r="T247" s="3"/>
      <c r="U247" s="4"/>
      <c r="W247" s="6"/>
    </row>
    <row r="248" spans="1:23" ht="15" thickBot="1" x14ac:dyDescent="0.35">
      <c r="A248" s="2">
        <v>54</v>
      </c>
      <c r="B248" s="3" t="s">
        <v>14</v>
      </c>
      <c r="C248" s="2">
        <v>29.2</v>
      </c>
      <c r="D248" s="2">
        <v>1</v>
      </c>
      <c r="E248" s="3" t="s">
        <v>16</v>
      </c>
      <c r="F248" s="3" t="s">
        <v>8</v>
      </c>
      <c r="G248" s="4">
        <v>10436.1</v>
      </c>
      <c r="H248">
        <f t="shared" si="7"/>
        <v>2</v>
      </c>
      <c r="I248" s="6">
        <f t="shared" si="8"/>
        <v>5218.05</v>
      </c>
      <c r="L248" s="19"/>
      <c r="O248" s="2"/>
      <c r="P248" s="3"/>
      <c r="Q248" s="2"/>
      <c r="R248" s="2"/>
      <c r="S248" s="3"/>
      <c r="T248" s="3"/>
      <c r="U248" s="4"/>
      <c r="W248" s="6"/>
    </row>
    <row r="249" spans="1:23" ht="15" thickBot="1" x14ac:dyDescent="0.35">
      <c r="A249" s="2">
        <v>54</v>
      </c>
      <c r="B249" s="3" t="s">
        <v>14</v>
      </c>
      <c r="C249" s="2">
        <v>30</v>
      </c>
      <c r="D249" s="2">
        <v>0</v>
      </c>
      <c r="E249" s="3" t="s">
        <v>16</v>
      </c>
      <c r="F249" s="3" t="s">
        <v>7</v>
      </c>
      <c r="G249" s="4">
        <v>24476.48</v>
      </c>
      <c r="H249">
        <f t="shared" si="7"/>
        <v>1</v>
      </c>
      <c r="I249" s="6">
        <f t="shared" si="8"/>
        <v>24476.48</v>
      </c>
      <c r="L249" s="19"/>
      <c r="O249" s="2"/>
      <c r="P249" s="3"/>
      <c r="Q249" s="2"/>
      <c r="R249" s="2"/>
      <c r="S249" s="3"/>
      <c r="T249" s="3"/>
      <c r="U249" s="4"/>
      <c r="W249" s="6"/>
    </row>
    <row r="250" spans="1:23" ht="15" thickBot="1" x14ac:dyDescent="0.35">
      <c r="A250" s="2">
        <v>54</v>
      </c>
      <c r="B250" s="3" t="s">
        <v>14</v>
      </c>
      <c r="C250" s="2">
        <v>34.200000000000003</v>
      </c>
      <c r="D250" s="2">
        <v>2</v>
      </c>
      <c r="E250" s="3" t="s">
        <v>17</v>
      </c>
      <c r="F250" s="3" t="s">
        <v>10</v>
      </c>
      <c r="G250" s="4">
        <v>44260.75</v>
      </c>
      <c r="H250">
        <f t="shared" si="7"/>
        <v>3</v>
      </c>
      <c r="I250" s="6">
        <f t="shared" si="8"/>
        <v>14753.583333333334</v>
      </c>
      <c r="L250" s="19"/>
      <c r="O250" s="2"/>
      <c r="P250" s="3"/>
      <c r="Q250" s="2"/>
      <c r="R250" s="2"/>
      <c r="S250" s="3"/>
      <c r="T250" s="3"/>
      <c r="U250" s="4"/>
      <c r="W250" s="6"/>
    </row>
    <row r="251" spans="1:23" ht="15" thickBot="1" x14ac:dyDescent="0.35">
      <c r="A251" s="2">
        <v>54</v>
      </c>
      <c r="B251" s="3" t="s">
        <v>14</v>
      </c>
      <c r="C251" s="2">
        <v>40.6</v>
      </c>
      <c r="D251" s="2">
        <v>3</v>
      </c>
      <c r="E251" s="3" t="s">
        <v>17</v>
      </c>
      <c r="F251" s="3" t="s">
        <v>9</v>
      </c>
      <c r="G251" s="4">
        <v>48549.18</v>
      </c>
      <c r="H251">
        <f t="shared" si="7"/>
        <v>4</v>
      </c>
      <c r="I251" s="6">
        <f t="shared" si="8"/>
        <v>12137.295</v>
      </c>
      <c r="L251" s="19"/>
      <c r="O251" s="2"/>
      <c r="P251" s="3"/>
      <c r="Q251" s="2"/>
      <c r="R251" s="2"/>
      <c r="S251" s="3"/>
      <c r="T251" s="3"/>
      <c r="U251" s="4"/>
      <c r="W251" s="6"/>
    </row>
    <row r="252" spans="1:23" ht="15" thickBot="1" x14ac:dyDescent="0.35">
      <c r="A252" s="2">
        <v>54</v>
      </c>
      <c r="B252" s="3" t="s">
        <v>14</v>
      </c>
      <c r="C252" s="2">
        <v>32.799999999999997</v>
      </c>
      <c r="D252" s="2">
        <v>0</v>
      </c>
      <c r="E252" s="3" t="s">
        <v>16</v>
      </c>
      <c r="F252" s="3" t="s">
        <v>9</v>
      </c>
      <c r="G252" s="4">
        <v>10435.07</v>
      </c>
      <c r="H252">
        <f t="shared" si="7"/>
        <v>1</v>
      </c>
      <c r="I252" s="6">
        <f t="shared" si="8"/>
        <v>10435.07</v>
      </c>
      <c r="L252" s="19"/>
      <c r="O252" s="2"/>
      <c r="P252" s="3"/>
      <c r="Q252" s="2"/>
      <c r="R252" s="2"/>
      <c r="S252" s="3"/>
      <c r="T252" s="3"/>
      <c r="U252" s="4"/>
      <c r="W252" s="6"/>
    </row>
    <row r="253" spans="1:23" ht="15" thickBot="1" x14ac:dyDescent="0.35">
      <c r="A253" s="2">
        <v>54</v>
      </c>
      <c r="B253" s="3" t="s">
        <v>14</v>
      </c>
      <c r="C253" s="2">
        <v>25.1</v>
      </c>
      <c r="D253" s="2">
        <v>3</v>
      </c>
      <c r="E253" s="3" t="s">
        <v>17</v>
      </c>
      <c r="F253" s="3" t="s">
        <v>8</v>
      </c>
      <c r="G253" s="4">
        <v>25382.3</v>
      </c>
      <c r="H253">
        <f t="shared" si="7"/>
        <v>4</v>
      </c>
      <c r="I253" s="6">
        <f t="shared" si="8"/>
        <v>6345.5749999999998</v>
      </c>
      <c r="L253" s="19"/>
      <c r="O253" s="2"/>
      <c r="P253" s="3"/>
      <c r="Q253" s="2"/>
      <c r="R253" s="2"/>
      <c r="S253" s="3"/>
      <c r="T253" s="3"/>
      <c r="U253" s="4"/>
      <c r="W253" s="6"/>
    </row>
    <row r="254" spans="1:23" ht="15" thickBot="1" x14ac:dyDescent="0.35">
      <c r="A254" s="2">
        <v>54</v>
      </c>
      <c r="B254" s="3" t="s">
        <v>15</v>
      </c>
      <c r="C254" s="2">
        <v>21.5</v>
      </c>
      <c r="D254" s="2">
        <v>3</v>
      </c>
      <c r="E254" s="3" t="s">
        <v>16</v>
      </c>
      <c r="F254" s="3" t="s">
        <v>7</v>
      </c>
      <c r="G254" s="4">
        <v>12475.35</v>
      </c>
      <c r="H254">
        <f t="shared" si="7"/>
        <v>4</v>
      </c>
      <c r="I254" s="6">
        <f t="shared" si="8"/>
        <v>3118.8375000000001</v>
      </c>
      <c r="L254" s="19"/>
      <c r="O254" s="2"/>
      <c r="P254" s="3"/>
      <c r="Q254" s="2"/>
      <c r="R254" s="2"/>
      <c r="S254" s="3"/>
      <c r="T254" s="3"/>
      <c r="U254" s="4"/>
      <c r="W254" s="6"/>
    </row>
    <row r="255" spans="1:23" ht="15" thickBot="1" x14ac:dyDescent="0.35">
      <c r="A255" s="2">
        <v>54</v>
      </c>
      <c r="B255" s="3" t="s">
        <v>15</v>
      </c>
      <c r="C255" s="2">
        <v>47.4</v>
      </c>
      <c r="D255" s="2">
        <v>0</v>
      </c>
      <c r="E255" s="3" t="s">
        <v>17</v>
      </c>
      <c r="F255" s="3" t="s">
        <v>10</v>
      </c>
      <c r="G255" s="4">
        <v>63770.43</v>
      </c>
      <c r="H255">
        <f t="shared" si="7"/>
        <v>1</v>
      </c>
      <c r="I255" s="6">
        <f t="shared" si="8"/>
        <v>63770.43</v>
      </c>
      <c r="L255" s="19"/>
      <c r="O255" s="2"/>
      <c r="P255" s="3"/>
      <c r="Q255" s="2"/>
      <c r="R255" s="2"/>
      <c r="S255" s="3"/>
      <c r="T255" s="3"/>
      <c r="U255" s="4"/>
      <c r="W255" s="6"/>
    </row>
    <row r="256" spans="1:23" ht="15" thickBot="1" x14ac:dyDescent="0.35">
      <c r="A256" s="2">
        <v>54</v>
      </c>
      <c r="B256" s="3" t="s">
        <v>14</v>
      </c>
      <c r="C256" s="2">
        <v>30.2</v>
      </c>
      <c r="D256" s="2">
        <v>0</v>
      </c>
      <c r="E256" s="3" t="s">
        <v>16</v>
      </c>
      <c r="F256" s="3" t="s">
        <v>7</v>
      </c>
      <c r="G256" s="4">
        <v>10231.5</v>
      </c>
      <c r="H256">
        <f t="shared" si="7"/>
        <v>1</v>
      </c>
      <c r="I256" s="6">
        <f t="shared" si="8"/>
        <v>10231.5</v>
      </c>
      <c r="L256" s="19"/>
      <c r="O256" s="2"/>
      <c r="P256" s="3"/>
      <c r="Q256" s="2"/>
      <c r="R256" s="2"/>
      <c r="S256" s="3"/>
      <c r="T256" s="3"/>
      <c r="U256" s="4"/>
      <c r="W256" s="6"/>
    </row>
    <row r="257" spans="1:23" ht="15" thickBot="1" x14ac:dyDescent="0.35">
      <c r="A257" s="2">
        <v>54</v>
      </c>
      <c r="B257" s="3" t="s">
        <v>15</v>
      </c>
      <c r="C257" s="2">
        <v>46.7</v>
      </c>
      <c r="D257" s="2">
        <v>2</v>
      </c>
      <c r="E257" s="3" t="s">
        <v>16</v>
      </c>
      <c r="F257" s="3" t="s">
        <v>8</v>
      </c>
      <c r="G257" s="4">
        <v>11538.42</v>
      </c>
      <c r="H257">
        <f t="shared" si="7"/>
        <v>3</v>
      </c>
      <c r="I257" s="6">
        <f t="shared" si="8"/>
        <v>3846.14</v>
      </c>
      <c r="L257" s="19"/>
      <c r="O257" s="2"/>
      <c r="P257" s="3"/>
      <c r="Q257" s="2"/>
      <c r="R257" s="2"/>
      <c r="S257" s="3"/>
      <c r="T257" s="3"/>
      <c r="U257" s="4"/>
      <c r="W257" s="6"/>
    </row>
    <row r="258" spans="1:23" ht="15" thickBot="1" x14ac:dyDescent="0.35">
      <c r="A258" s="2">
        <v>54</v>
      </c>
      <c r="B258" s="3" t="s">
        <v>15</v>
      </c>
      <c r="C258" s="2">
        <v>32.700000000000003</v>
      </c>
      <c r="D258" s="2">
        <v>0</v>
      </c>
      <c r="E258" s="3" t="s">
        <v>16</v>
      </c>
      <c r="F258" s="3" t="s">
        <v>9</v>
      </c>
      <c r="G258" s="4">
        <v>10923.93</v>
      </c>
      <c r="H258">
        <f t="shared" si="7"/>
        <v>1</v>
      </c>
      <c r="I258" s="6">
        <f t="shared" si="8"/>
        <v>10923.93</v>
      </c>
      <c r="L258" s="19"/>
      <c r="O258" s="2"/>
      <c r="P258" s="3"/>
      <c r="Q258" s="2"/>
      <c r="R258" s="2"/>
      <c r="S258" s="3"/>
      <c r="T258" s="3"/>
      <c r="U258" s="4"/>
      <c r="W258" s="6"/>
    </row>
    <row r="259" spans="1:23" ht="15" thickBot="1" x14ac:dyDescent="0.35">
      <c r="A259" s="2">
        <v>54</v>
      </c>
      <c r="B259" s="3" t="s">
        <v>14</v>
      </c>
      <c r="C259" s="2">
        <v>21</v>
      </c>
      <c r="D259" s="2">
        <v>2</v>
      </c>
      <c r="E259" s="3" t="s">
        <v>16</v>
      </c>
      <c r="F259" s="3" t="s">
        <v>10</v>
      </c>
      <c r="G259" s="4">
        <v>11013.71</v>
      </c>
      <c r="H259">
        <f t="shared" ref="H259:H322" si="9">D259+1</f>
        <v>3</v>
      </c>
      <c r="I259" s="6">
        <f t="shared" ref="I259:I322" si="10">G259/H259</f>
        <v>3671.2366666666662</v>
      </c>
      <c r="L259" s="19"/>
      <c r="O259" s="2"/>
      <c r="P259" s="3"/>
      <c r="Q259" s="2"/>
      <c r="R259" s="2"/>
      <c r="S259" s="3"/>
      <c r="T259" s="3"/>
      <c r="U259" s="4"/>
      <c r="W259" s="6"/>
    </row>
    <row r="260" spans="1:23" ht="15" thickBot="1" x14ac:dyDescent="0.35">
      <c r="A260" s="2">
        <v>54</v>
      </c>
      <c r="B260" s="3" t="s">
        <v>14</v>
      </c>
      <c r="C260" s="2">
        <v>24</v>
      </c>
      <c r="D260" s="2">
        <v>0</v>
      </c>
      <c r="E260" s="3" t="s">
        <v>16</v>
      </c>
      <c r="F260" s="3" t="s">
        <v>9</v>
      </c>
      <c r="G260" s="4">
        <v>10422.92</v>
      </c>
      <c r="H260">
        <f t="shared" si="9"/>
        <v>1</v>
      </c>
      <c r="I260" s="6">
        <f t="shared" si="10"/>
        <v>10422.92</v>
      </c>
      <c r="L260" s="19"/>
      <c r="O260" s="2"/>
      <c r="P260" s="3"/>
      <c r="Q260" s="2"/>
      <c r="R260" s="2"/>
      <c r="S260" s="3"/>
      <c r="T260" s="3"/>
      <c r="U260" s="4"/>
      <c r="W260" s="6"/>
    </row>
    <row r="261" spans="1:23" ht="15" thickBot="1" x14ac:dyDescent="0.35">
      <c r="A261" s="2">
        <v>54</v>
      </c>
      <c r="B261" s="3" t="s">
        <v>14</v>
      </c>
      <c r="C261" s="2">
        <v>30.8</v>
      </c>
      <c r="D261" s="2">
        <v>1</v>
      </c>
      <c r="E261" s="3" t="s">
        <v>17</v>
      </c>
      <c r="F261" s="3" t="s">
        <v>10</v>
      </c>
      <c r="G261" s="4">
        <v>41999.519999999997</v>
      </c>
      <c r="H261">
        <f t="shared" si="9"/>
        <v>2</v>
      </c>
      <c r="I261" s="6">
        <f t="shared" si="10"/>
        <v>20999.759999999998</v>
      </c>
      <c r="L261" s="19"/>
      <c r="O261" s="2"/>
      <c r="P261" s="3"/>
      <c r="Q261" s="2"/>
      <c r="R261" s="2"/>
      <c r="S261" s="3"/>
      <c r="T261" s="3"/>
      <c r="U261" s="4"/>
      <c r="W261" s="6"/>
    </row>
    <row r="262" spans="1:23" ht="15" thickBot="1" x14ac:dyDescent="0.35">
      <c r="A262" s="2">
        <v>54</v>
      </c>
      <c r="B262" s="3" t="s">
        <v>14</v>
      </c>
      <c r="C262" s="2">
        <v>25.5</v>
      </c>
      <c r="D262" s="2">
        <v>1</v>
      </c>
      <c r="E262" s="3" t="s">
        <v>16</v>
      </c>
      <c r="F262" s="3" t="s">
        <v>9</v>
      </c>
      <c r="G262" s="4">
        <v>25517.11</v>
      </c>
      <c r="H262">
        <f t="shared" si="9"/>
        <v>2</v>
      </c>
      <c r="I262" s="6">
        <f t="shared" si="10"/>
        <v>12758.555</v>
      </c>
      <c r="L262" s="19"/>
      <c r="O262" s="2"/>
      <c r="P262" s="3"/>
      <c r="Q262" s="2"/>
      <c r="R262" s="2"/>
      <c r="S262" s="3"/>
      <c r="T262" s="3"/>
      <c r="U262" s="4"/>
      <c r="W262" s="6"/>
    </row>
    <row r="263" spans="1:23" ht="15" thickBot="1" x14ac:dyDescent="0.35">
      <c r="A263" s="2">
        <v>54</v>
      </c>
      <c r="B263" s="3" t="s">
        <v>15</v>
      </c>
      <c r="C263" s="2">
        <v>35.799999999999997</v>
      </c>
      <c r="D263" s="2">
        <v>3</v>
      </c>
      <c r="E263" s="3" t="s">
        <v>16</v>
      </c>
      <c r="F263" s="3" t="s">
        <v>7</v>
      </c>
      <c r="G263" s="4">
        <v>12495.29</v>
      </c>
      <c r="H263">
        <f t="shared" si="9"/>
        <v>4</v>
      </c>
      <c r="I263" s="6">
        <f t="shared" si="10"/>
        <v>3123.8225000000002</v>
      </c>
      <c r="L263" s="19"/>
      <c r="O263" s="2"/>
      <c r="P263" s="3"/>
      <c r="Q263" s="2"/>
      <c r="R263" s="2"/>
      <c r="S263" s="3"/>
      <c r="T263" s="3"/>
      <c r="U263" s="4"/>
      <c r="W263" s="6"/>
    </row>
    <row r="264" spans="1:23" ht="15" thickBot="1" x14ac:dyDescent="0.35">
      <c r="A264" s="2">
        <v>54</v>
      </c>
      <c r="B264" s="3" t="s">
        <v>14</v>
      </c>
      <c r="C264" s="2">
        <v>31.6</v>
      </c>
      <c r="D264" s="2">
        <v>0</v>
      </c>
      <c r="E264" s="3" t="s">
        <v>16</v>
      </c>
      <c r="F264" s="3" t="s">
        <v>8</v>
      </c>
      <c r="G264" s="4">
        <v>9850.43</v>
      </c>
      <c r="H264">
        <f t="shared" si="9"/>
        <v>1</v>
      </c>
      <c r="I264" s="6">
        <f t="shared" si="10"/>
        <v>9850.43</v>
      </c>
      <c r="L264" s="19"/>
      <c r="O264" s="2"/>
      <c r="P264" s="3"/>
      <c r="Q264" s="2"/>
      <c r="R264" s="2"/>
      <c r="S264" s="3"/>
      <c r="T264" s="3"/>
      <c r="U264" s="4"/>
      <c r="W264" s="6"/>
    </row>
    <row r="265" spans="1:23" ht="15" thickBot="1" x14ac:dyDescent="0.35">
      <c r="A265" s="2">
        <v>54</v>
      </c>
      <c r="B265" s="3" t="s">
        <v>15</v>
      </c>
      <c r="C265" s="2">
        <v>23</v>
      </c>
      <c r="D265" s="2">
        <v>3</v>
      </c>
      <c r="E265" s="3" t="s">
        <v>16</v>
      </c>
      <c r="F265" s="3" t="s">
        <v>8</v>
      </c>
      <c r="G265" s="4">
        <v>12094.48</v>
      </c>
      <c r="H265">
        <f t="shared" si="9"/>
        <v>4</v>
      </c>
      <c r="I265" s="6">
        <f t="shared" si="10"/>
        <v>3023.62</v>
      </c>
      <c r="L265" s="19"/>
      <c r="O265" s="2"/>
      <c r="P265" s="3"/>
      <c r="Q265" s="2"/>
      <c r="R265" s="2"/>
      <c r="S265" s="3"/>
      <c r="T265" s="3"/>
      <c r="U265" s="4"/>
      <c r="W265" s="6"/>
    </row>
    <row r="266" spans="1:23" ht="15" thickBot="1" x14ac:dyDescent="0.35">
      <c r="A266" s="2">
        <v>54</v>
      </c>
      <c r="B266" s="3" t="s">
        <v>15</v>
      </c>
      <c r="C266" s="2">
        <v>31.9</v>
      </c>
      <c r="D266" s="2">
        <v>1</v>
      </c>
      <c r="E266" s="3" t="s">
        <v>16</v>
      </c>
      <c r="F266" s="3" t="s">
        <v>10</v>
      </c>
      <c r="G266" s="4">
        <v>10928.85</v>
      </c>
      <c r="H266">
        <f t="shared" si="9"/>
        <v>2</v>
      </c>
      <c r="I266" s="6">
        <f t="shared" si="10"/>
        <v>5464.4250000000002</v>
      </c>
      <c r="L266" s="19"/>
      <c r="O266" s="2"/>
      <c r="P266" s="3"/>
      <c r="Q266" s="2"/>
      <c r="R266" s="2"/>
      <c r="S266" s="3"/>
      <c r="T266" s="3"/>
      <c r="U266" s="4"/>
      <c r="W266" s="6"/>
    </row>
    <row r="267" spans="1:23" ht="15" thickBot="1" x14ac:dyDescent="0.35">
      <c r="A267" s="2">
        <v>54</v>
      </c>
      <c r="B267" s="3" t="s">
        <v>15</v>
      </c>
      <c r="C267" s="2">
        <v>28.9</v>
      </c>
      <c r="D267" s="2">
        <v>2</v>
      </c>
      <c r="E267" s="3" t="s">
        <v>16</v>
      </c>
      <c r="F267" s="3" t="s">
        <v>9</v>
      </c>
      <c r="G267" s="4">
        <v>12096.65</v>
      </c>
      <c r="H267">
        <f t="shared" si="9"/>
        <v>3</v>
      </c>
      <c r="I267" s="6">
        <f t="shared" si="10"/>
        <v>4032.2166666666667</v>
      </c>
      <c r="L267" s="19"/>
      <c r="O267" s="2"/>
      <c r="P267" s="3"/>
      <c r="Q267" s="2"/>
      <c r="R267" s="2"/>
      <c r="S267" s="3"/>
      <c r="T267" s="3"/>
      <c r="U267" s="4"/>
      <c r="W267" s="6"/>
    </row>
    <row r="268" spans="1:23" ht="15" thickBot="1" x14ac:dyDescent="0.35">
      <c r="A268" s="2">
        <v>54</v>
      </c>
      <c r="B268" s="3" t="s">
        <v>15</v>
      </c>
      <c r="C268" s="2">
        <v>31.2</v>
      </c>
      <c r="D268" s="2">
        <v>0</v>
      </c>
      <c r="E268" s="3" t="s">
        <v>16</v>
      </c>
      <c r="F268" s="3" t="s">
        <v>10</v>
      </c>
      <c r="G268" s="4">
        <v>10338.93</v>
      </c>
      <c r="H268">
        <f t="shared" si="9"/>
        <v>1</v>
      </c>
      <c r="I268" s="6">
        <f t="shared" si="10"/>
        <v>10338.93</v>
      </c>
      <c r="L268" s="19"/>
      <c r="O268" s="2"/>
      <c r="P268" s="3"/>
      <c r="Q268" s="2"/>
      <c r="R268" s="2"/>
      <c r="S268" s="3"/>
      <c r="T268" s="3"/>
      <c r="U268" s="4"/>
      <c r="W268" s="6"/>
    </row>
    <row r="269" spans="1:23" ht="15" thickBot="1" x14ac:dyDescent="0.35">
      <c r="A269" s="2">
        <v>54</v>
      </c>
      <c r="B269" s="3" t="s">
        <v>15</v>
      </c>
      <c r="C269" s="2">
        <v>32.299999999999997</v>
      </c>
      <c r="D269" s="2">
        <v>1</v>
      </c>
      <c r="E269" s="3" t="s">
        <v>16</v>
      </c>
      <c r="F269" s="3" t="s">
        <v>9</v>
      </c>
      <c r="G269" s="4">
        <v>11512.41</v>
      </c>
      <c r="H269">
        <f t="shared" si="9"/>
        <v>2</v>
      </c>
      <c r="I269" s="6">
        <f t="shared" si="10"/>
        <v>5756.2049999999999</v>
      </c>
      <c r="L269" s="19"/>
      <c r="O269" s="2"/>
      <c r="P269" s="3"/>
      <c r="Q269" s="2"/>
      <c r="R269" s="2"/>
      <c r="S269" s="3"/>
      <c r="T269" s="3"/>
      <c r="U269" s="4"/>
      <c r="W269" s="6"/>
    </row>
    <row r="270" spans="1:23" ht="15" thickBot="1" x14ac:dyDescent="0.35">
      <c r="A270" s="2">
        <v>54</v>
      </c>
      <c r="B270" s="3" t="s">
        <v>15</v>
      </c>
      <c r="C270" s="2">
        <v>24.6</v>
      </c>
      <c r="D270" s="2">
        <v>3</v>
      </c>
      <c r="E270" s="3" t="s">
        <v>16</v>
      </c>
      <c r="F270" s="3" t="s">
        <v>7</v>
      </c>
      <c r="G270" s="4">
        <v>12479.71</v>
      </c>
      <c r="H270">
        <f t="shared" si="9"/>
        <v>4</v>
      </c>
      <c r="I270" s="6">
        <f t="shared" si="10"/>
        <v>3119.9274999999998</v>
      </c>
      <c r="L270" s="19"/>
      <c r="O270" s="2"/>
      <c r="P270" s="3"/>
      <c r="Q270" s="2"/>
      <c r="R270" s="2"/>
      <c r="S270" s="3"/>
      <c r="T270" s="3"/>
      <c r="U270" s="4"/>
      <c r="W270" s="6"/>
    </row>
    <row r="271" spans="1:23" ht="15" thickBot="1" x14ac:dyDescent="0.35">
      <c r="A271" s="2">
        <v>54</v>
      </c>
      <c r="B271" s="3" t="s">
        <v>15</v>
      </c>
      <c r="C271" s="2">
        <v>27.6</v>
      </c>
      <c r="D271" s="2">
        <v>1</v>
      </c>
      <c r="E271" s="3" t="s">
        <v>16</v>
      </c>
      <c r="F271" s="3" t="s">
        <v>7</v>
      </c>
      <c r="G271" s="4">
        <v>11305.93</v>
      </c>
      <c r="H271">
        <f t="shared" si="9"/>
        <v>2</v>
      </c>
      <c r="I271" s="6">
        <f t="shared" si="10"/>
        <v>5652.9650000000001</v>
      </c>
      <c r="L271" s="19"/>
      <c r="O271" s="2"/>
      <c r="P271" s="3"/>
      <c r="Q271" s="2"/>
      <c r="R271" s="2"/>
      <c r="S271" s="3"/>
      <c r="T271" s="3"/>
      <c r="U271" s="4"/>
      <c r="W271" s="6"/>
    </row>
    <row r="272" spans="1:23" ht="15" thickBot="1" x14ac:dyDescent="0.35">
      <c r="A272" s="2">
        <v>53</v>
      </c>
      <c r="B272" s="3" t="s">
        <v>15</v>
      </c>
      <c r="C272" s="2">
        <v>22.9</v>
      </c>
      <c r="D272" s="2">
        <v>1</v>
      </c>
      <c r="E272" s="3" t="s">
        <v>17</v>
      </c>
      <c r="F272" s="3" t="s">
        <v>10</v>
      </c>
      <c r="G272" s="4">
        <v>23244.79</v>
      </c>
      <c r="H272">
        <f t="shared" si="9"/>
        <v>2</v>
      </c>
      <c r="I272" s="6">
        <f t="shared" si="10"/>
        <v>11622.395</v>
      </c>
      <c r="L272" s="19"/>
      <c r="O272" s="2"/>
      <c r="P272" s="3"/>
      <c r="Q272" s="2"/>
      <c r="R272" s="2"/>
      <c r="S272" s="3"/>
      <c r="T272" s="3"/>
      <c r="U272" s="4"/>
      <c r="W272" s="6"/>
    </row>
    <row r="273" spans="1:23" ht="15" thickBot="1" x14ac:dyDescent="0.35">
      <c r="A273" s="2">
        <v>53</v>
      </c>
      <c r="B273" s="3" t="s">
        <v>15</v>
      </c>
      <c r="C273" s="2">
        <v>28.1</v>
      </c>
      <c r="D273" s="2">
        <v>3</v>
      </c>
      <c r="E273" s="3" t="s">
        <v>16</v>
      </c>
      <c r="F273" s="3" t="s">
        <v>8</v>
      </c>
      <c r="G273" s="4">
        <v>11741.73</v>
      </c>
      <c r="H273">
        <f t="shared" si="9"/>
        <v>4</v>
      </c>
      <c r="I273" s="6">
        <f t="shared" si="10"/>
        <v>2935.4324999999999</v>
      </c>
      <c r="L273" s="19"/>
      <c r="O273" s="2"/>
      <c r="P273" s="3"/>
      <c r="Q273" s="2"/>
      <c r="R273" s="2"/>
      <c r="S273" s="3"/>
      <c r="T273" s="3"/>
      <c r="U273" s="4"/>
      <c r="W273" s="6"/>
    </row>
    <row r="274" spans="1:23" ht="15" thickBot="1" x14ac:dyDescent="0.35">
      <c r="A274" s="2">
        <v>53</v>
      </c>
      <c r="B274" s="3" t="s">
        <v>15</v>
      </c>
      <c r="C274" s="2">
        <v>24.8</v>
      </c>
      <c r="D274" s="2">
        <v>1</v>
      </c>
      <c r="E274" s="3" t="s">
        <v>16</v>
      </c>
      <c r="F274" s="3" t="s">
        <v>7</v>
      </c>
      <c r="G274" s="4">
        <v>10942.13</v>
      </c>
      <c r="H274">
        <f t="shared" si="9"/>
        <v>2</v>
      </c>
      <c r="I274" s="6">
        <f t="shared" si="10"/>
        <v>5471.0649999999996</v>
      </c>
      <c r="L274" s="19"/>
      <c r="O274" s="2"/>
      <c r="P274" s="3"/>
      <c r="Q274" s="2"/>
      <c r="R274" s="2"/>
      <c r="S274" s="3"/>
      <c r="T274" s="3"/>
      <c r="U274" s="4"/>
      <c r="W274" s="6"/>
    </row>
    <row r="275" spans="1:23" ht="15" thickBot="1" x14ac:dyDescent="0.35">
      <c r="A275" s="2">
        <v>53</v>
      </c>
      <c r="B275" s="3" t="s">
        <v>15</v>
      </c>
      <c r="C275" s="2">
        <v>35.9</v>
      </c>
      <c r="D275" s="2">
        <v>2</v>
      </c>
      <c r="E275" s="3" t="s">
        <v>16</v>
      </c>
      <c r="F275" s="3" t="s">
        <v>8</v>
      </c>
      <c r="G275" s="4">
        <v>11163.57</v>
      </c>
      <c r="H275">
        <f t="shared" si="9"/>
        <v>3</v>
      </c>
      <c r="I275" s="6">
        <f t="shared" si="10"/>
        <v>3721.19</v>
      </c>
      <c r="L275" s="19"/>
      <c r="O275" s="2"/>
      <c r="P275" s="3"/>
      <c r="Q275" s="2"/>
      <c r="R275" s="2"/>
      <c r="S275" s="3"/>
      <c r="T275" s="3"/>
      <c r="U275" s="4"/>
      <c r="W275" s="6"/>
    </row>
    <row r="276" spans="1:23" ht="15" thickBot="1" x14ac:dyDescent="0.35">
      <c r="A276" s="2">
        <v>53</v>
      </c>
      <c r="B276" s="3" t="s">
        <v>15</v>
      </c>
      <c r="C276" s="2">
        <v>37.4</v>
      </c>
      <c r="D276" s="2">
        <v>1</v>
      </c>
      <c r="E276" s="3" t="s">
        <v>16</v>
      </c>
      <c r="F276" s="3" t="s">
        <v>7</v>
      </c>
      <c r="G276" s="4">
        <v>10959.69</v>
      </c>
      <c r="H276">
        <f t="shared" si="9"/>
        <v>2</v>
      </c>
      <c r="I276" s="6">
        <f t="shared" si="10"/>
        <v>5479.8450000000003</v>
      </c>
      <c r="L276" s="19"/>
      <c r="O276" s="2"/>
      <c r="P276" s="3"/>
      <c r="Q276" s="2"/>
      <c r="R276" s="2"/>
      <c r="S276" s="3"/>
      <c r="T276" s="3"/>
      <c r="U276" s="4"/>
      <c r="W276" s="6"/>
    </row>
    <row r="277" spans="1:23" ht="15" thickBot="1" x14ac:dyDescent="0.35">
      <c r="A277" s="2">
        <v>53</v>
      </c>
      <c r="B277" s="3" t="s">
        <v>15</v>
      </c>
      <c r="C277" s="2">
        <v>26.6</v>
      </c>
      <c r="D277" s="2">
        <v>0</v>
      </c>
      <c r="E277" s="3" t="s">
        <v>16</v>
      </c>
      <c r="F277" s="3" t="s">
        <v>7</v>
      </c>
      <c r="G277" s="4">
        <v>10355.64</v>
      </c>
      <c r="H277">
        <f t="shared" si="9"/>
        <v>1</v>
      </c>
      <c r="I277" s="6">
        <f t="shared" si="10"/>
        <v>10355.64</v>
      </c>
      <c r="L277" s="19"/>
      <c r="O277" s="2"/>
      <c r="P277" s="3"/>
      <c r="Q277" s="2"/>
      <c r="R277" s="2"/>
      <c r="S277" s="3"/>
      <c r="T277" s="3"/>
      <c r="U277" s="4"/>
      <c r="W277" s="6"/>
    </row>
    <row r="278" spans="1:23" ht="15" thickBot="1" x14ac:dyDescent="0.35">
      <c r="A278" s="2">
        <v>53</v>
      </c>
      <c r="B278" s="3" t="s">
        <v>15</v>
      </c>
      <c r="C278" s="2">
        <v>33.299999999999997</v>
      </c>
      <c r="D278" s="2">
        <v>0</v>
      </c>
      <c r="E278" s="3" t="s">
        <v>16</v>
      </c>
      <c r="F278" s="3" t="s">
        <v>9</v>
      </c>
      <c r="G278" s="4">
        <v>10564.88</v>
      </c>
      <c r="H278">
        <f t="shared" si="9"/>
        <v>1</v>
      </c>
      <c r="I278" s="6">
        <f t="shared" si="10"/>
        <v>10564.88</v>
      </c>
      <c r="L278" s="19"/>
      <c r="O278" s="2"/>
      <c r="P278" s="3"/>
      <c r="Q278" s="2"/>
      <c r="R278" s="2"/>
      <c r="S278" s="3"/>
      <c r="T278" s="3"/>
      <c r="U278" s="4"/>
      <c r="W278" s="6"/>
    </row>
    <row r="279" spans="1:23" ht="15" thickBot="1" x14ac:dyDescent="0.35">
      <c r="A279" s="2">
        <v>53</v>
      </c>
      <c r="B279" s="3" t="s">
        <v>15</v>
      </c>
      <c r="C279" s="2">
        <v>38.1</v>
      </c>
      <c r="D279" s="2">
        <v>3</v>
      </c>
      <c r="E279" s="3" t="s">
        <v>16</v>
      </c>
      <c r="F279" s="3" t="s">
        <v>10</v>
      </c>
      <c r="G279" s="4">
        <v>20463</v>
      </c>
      <c r="H279">
        <f t="shared" si="9"/>
        <v>4</v>
      </c>
      <c r="I279" s="6">
        <f t="shared" si="10"/>
        <v>5115.75</v>
      </c>
      <c r="L279" s="19"/>
      <c r="O279" s="2"/>
      <c r="P279" s="3"/>
      <c r="Q279" s="2"/>
      <c r="R279" s="2"/>
      <c r="S279" s="3"/>
      <c r="T279" s="3"/>
      <c r="U279" s="4"/>
      <c r="W279" s="6"/>
    </row>
    <row r="280" spans="1:23" ht="15" thickBot="1" x14ac:dyDescent="0.35">
      <c r="A280" s="2">
        <v>53</v>
      </c>
      <c r="B280" s="3" t="s">
        <v>15</v>
      </c>
      <c r="C280" s="2">
        <v>22.6</v>
      </c>
      <c r="D280" s="2">
        <v>3</v>
      </c>
      <c r="E280" s="3" t="s">
        <v>17</v>
      </c>
      <c r="F280" s="3" t="s">
        <v>9</v>
      </c>
      <c r="G280" s="4">
        <v>24873.38</v>
      </c>
      <c r="H280">
        <f t="shared" si="9"/>
        <v>4</v>
      </c>
      <c r="I280" s="6">
        <f t="shared" si="10"/>
        <v>6218.3450000000003</v>
      </c>
      <c r="L280" s="19"/>
      <c r="O280" s="2"/>
      <c r="P280" s="3"/>
      <c r="Q280" s="2"/>
      <c r="R280" s="2"/>
      <c r="S280" s="3"/>
      <c r="T280" s="3"/>
      <c r="U280" s="4"/>
      <c r="W280" s="6"/>
    </row>
    <row r="281" spans="1:23" ht="15" thickBot="1" x14ac:dyDescent="0.35">
      <c r="A281" s="2">
        <v>53</v>
      </c>
      <c r="B281" s="3" t="s">
        <v>14</v>
      </c>
      <c r="C281" s="2">
        <v>31.2</v>
      </c>
      <c r="D281" s="2">
        <v>1</v>
      </c>
      <c r="E281" s="3" t="s">
        <v>16</v>
      </c>
      <c r="F281" s="3" t="s">
        <v>7</v>
      </c>
      <c r="G281" s="4">
        <v>10461.98</v>
      </c>
      <c r="H281">
        <f t="shared" si="9"/>
        <v>2</v>
      </c>
      <c r="I281" s="6">
        <f t="shared" si="10"/>
        <v>5230.99</v>
      </c>
      <c r="L281" s="19"/>
      <c r="O281" s="2"/>
      <c r="P281" s="3"/>
      <c r="Q281" s="2"/>
      <c r="R281" s="2"/>
      <c r="S281" s="3"/>
      <c r="T281" s="3"/>
      <c r="U281" s="4"/>
      <c r="W281" s="6"/>
    </row>
    <row r="282" spans="1:23" ht="15" thickBot="1" x14ac:dyDescent="0.35">
      <c r="A282" s="2">
        <v>53</v>
      </c>
      <c r="B282" s="3" t="s">
        <v>14</v>
      </c>
      <c r="C282" s="2">
        <v>31.4</v>
      </c>
      <c r="D282" s="2">
        <v>0</v>
      </c>
      <c r="E282" s="3" t="s">
        <v>16</v>
      </c>
      <c r="F282" s="3" t="s">
        <v>10</v>
      </c>
      <c r="G282" s="4">
        <v>27346.04</v>
      </c>
      <c r="H282">
        <f t="shared" si="9"/>
        <v>1</v>
      </c>
      <c r="I282" s="6">
        <f t="shared" si="10"/>
        <v>27346.04</v>
      </c>
      <c r="L282" s="19"/>
      <c r="O282" s="2"/>
      <c r="P282" s="3"/>
      <c r="Q282" s="2"/>
      <c r="R282" s="2"/>
      <c r="S282" s="3"/>
      <c r="T282" s="3"/>
      <c r="U282" s="4"/>
      <c r="W282" s="6"/>
    </row>
    <row r="283" spans="1:23" ht="15" thickBot="1" x14ac:dyDescent="0.35">
      <c r="A283" s="2">
        <v>53</v>
      </c>
      <c r="B283" s="3" t="s">
        <v>14</v>
      </c>
      <c r="C283" s="2">
        <v>36.1</v>
      </c>
      <c r="D283" s="2">
        <v>1</v>
      </c>
      <c r="E283" s="3" t="s">
        <v>16</v>
      </c>
      <c r="F283" s="3" t="s">
        <v>8</v>
      </c>
      <c r="G283" s="4">
        <v>10085.85</v>
      </c>
      <c r="H283">
        <f t="shared" si="9"/>
        <v>2</v>
      </c>
      <c r="I283" s="6">
        <f t="shared" si="10"/>
        <v>5042.9250000000002</v>
      </c>
      <c r="L283" s="19"/>
      <c r="O283" s="2"/>
      <c r="P283" s="3"/>
      <c r="Q283" s="2"/>
      <c r="R283" s="2"/>
      <c r="S283" s="3"/>
      <c r="T283" s="3"/>
      <c r="U283" s="4"/>
      <c r="W283" s="6"/>
    </row>
    <row r="284" spans="1:23" ht="15" thickBot="1" x14ac:dyDescent="0.35">
      <c r="A284" s="2">
        <v>53</v>
      </c>
      <c r="B284" s="3" t="s">
        <v>15</v>
      </c>
      <c r="C284" s="2">
        <v>39.6</v>
      </c>
      <c r="D284" s="2">
        <v>1</v>
      </c>
      <c r="E284" s="3" t="s">
        <v>16</v>
      </c>
      <c r="F284" s="3" t="s">
        <v>10</v>
      </c>
      <c r="G284" s="4">
        <v>10579.71</v>
      </c>
      <c r="H284">
        <f t="shared" si="9"/>
        <v>2</v>
      </c>
      <c r="I284" s="6">
        <f t="shared" si="10"/>
        <v>5289.8549999999996</v>
      </c>
      <c r="L284" s="19"/>
      <c r="O284" s="2"/>
      <c r="P284" s="3"/>
      <c r="Q284" s="2"/>
      <c r="R284" s="2"/>
      <c r="S284" s="3"/>
      <c r="T284" s="3"/>
      <c r="U284" s="4"/>
      <c r="W284" s="6"/>
    </row>
    <row r="285" spans="1:23" ht="15" thickBot="1" x14ac:dyDescent="0.35">
      <c r="A285" s="2">
        <v>53</v>
      </c>
      <c r="B285" s="3" t="s">
        <v>14</v>
      </c>
      <c r="C285" s="2">
        <v>24.3</v>
      </c>
      <c r="D285" s="2">
        <v>0</v>
      </c>
      <c r="E285" s="3" t="s">
        <v>16</v>
      </c>
      <c r="F285" s="3" t="s">
        <v>7</v>
      </c>
      <c r="G285" s="4">
        <v>9863.4699999999993</v>
      </c>
      <c r="H285">
        <f t="shared" si="9"/>
        <v>1</v>
      </c>
      <c r="I285" s="6">
        <f t="shared" si="10"/>
        <v>9863.4699999999993</v>
      </c>
      <c r="L285" s="19"/>
      <c r="O285" s="2"/>
      <c r="P285" s="3"/>
      <c r="Q285" s="2"/>
      <c r="R285" s="2"/>
      <c r="S285" s="3"/>
      <c r="T285" s="3"/>
      <c r="U285" s="4"/>
      <c r="W285" s="6"/>
    </row>
    <row r="286" spans="1:23" ht="15" thickBot="1" x14ac:dyDescent="0.35">
      <c r="A286" s="2">
        <v>53</v>
      </c>
      <c r="B286" s="3" t="s">
        <v>14</v>
      </c>
      <c r="C286" s="2">
        <v>26.4</v>
      </c>
      <c r="D286" s="2">
        <v>2</v>
      </c>
      <c r="E286" s="3" t="s">
        <v>16</v>
      </c>
      <c r="F286" s="3" t="s">
        <v>9</v>
      </c>
      <c r="G286" s="4">
        <v>11244.38</v>
      </c>
      <c r="H286">
        <f t="shared" si="9"/>
        <v>3</v>
      </c>
      <c r="I286" s="6">
        <f t="shared" si="10"/>
        <v>3748.1266666666666</v>
      </c>
      <c r="L286" s="19"/>
      <c r="O286" s="2"/>
      <c r="P286" s="3"/>
      <c r="Q286" s="2"/>
      <c r="R286" s="2"/>
      <c r="S286" s="3"/>
      <c r="T286" s="3"/>
      <c r="U286" s="4"/>
      <c r="W286" s="6"/>
    </row>
    <row r="287" spans="1:23" ht="15" thickBot="1" x14ac:dyDescent="0.35">
      <c r="A287" s="2">
        <v>53</v>
      </c>
      <c r="B287" s="3" t="s">
        <v>15</v>
      </c>
      <c r="C287" s="2">
        <v>32.299999999999997</v>
      </c>
      <c r="D287" s="2">
        <v>2</v>
      </c>
      <c r="E287" s="3" t="s">
        <v>16</v>
      </c>
      <c r="F287" s="3" t="s">
        <v>9</v>
      </c>
      <c r="G287" s="4">
        <v>29186.48</v>
      </c>
      <c r="H287">
        <f t="shared" si="9"/>
        <v>3</v>
      </c>
      <c r="I287" s="6">
        <f t="shared" si="10"/>
        <v>9728.8266666666659</v>
      </c>
      <c r="L287" s="19"/>
      <c r="O287" s="2"/>
      <c r="P287" s="3"/>
      <c r="Q287" s="2"/>
      <c r="R287" s="2"/>
      <c r="S287" s="3"/>
      <c r="T287" s="3"/>
      <c r="U287" s="4"/>
      <c r="W287" s="6"/>
    </row>
    <row r="288" spans="1:23" ht="15" thickBot="1" x14ac:dyDescent="0.35">
      <c r="A288" s="2">
        <v>53</v>
      </c>
      <c r="B288" s="3" t="s">
        <v>14</v>
      </c>
      <c r="C288" s="2">
        <v>41.5</v>
      </c>
      <c r="D288" s="2">
        <v>0</v>
      </c>
      <c r="E288" s="3" t="s">
        <v>16</v>
      </c>
      <c r="F288" s="3" t="s">
        <v>10</v>
      </c>
      <c r="G288" s="4">
        <v>9504.31</v>
      </c>
      <c r="H288">
        <f t="shared" si="9"/>
        <v>1</v>
      </c>
      <c r="I288" s="6">
        <f t="shared" si="10"/>
        <v>9504.31</v>
      </c>
      <c r="L288" s="19"/>
      <c r="O288" s="2"/>
      <c r="P288" s="3"/>
      <c r="Q288" s="2"/>
      <c r="R288" s="2"/>
      <c r="S288" s="3"/>
      <c r="T288" s="3"/>
      <c r="U288" s="4"/>
      <c r="W288" s="6"/>
    </row>
    <row r="289" spans="1:23" ht="15" thickBot="1" x14ac:dyDescent="0.35">
      <c r="A289" s="2">
        <v>53</v>
      </c>
      <c r="B289" s="3" t="s">
        <v>14</v>
      </c>
      <c r="C289" s="2">
        <v>36.6</v>
      </c>
      <c r="D289" s="2">
        <v>3</v>
      </c>
      <c r="E289" s="3" t="s">
        <v>16</v>
      </c>
      <c r="F289" s="3" t="s">
        <v>8</v>
      </c>
      <c r="G289" s="4">
        <v>11264.54</v>
      </c>
      <c r="H289">
        <f t="shared" si="9"/>
        <v>4</v>
      </c>
      <c r="I289" s="6">
        <f t="shared" si="10"/>
        <v>2816.1350000000002</v>
      </c>
      <c r="L289" s="19"/>
      <c r="O289" s="2"/>
      <c r="P289" s="3"/>
      <c r="Q289" s="2"/>
      <c r="R289" s="2"/>
      <c r="S289" s="3"/>
      <c r="T289" s="3"/>
      <c r="U289" s="4"/>
      <c r="W289" s="6"/>
    </row>
    <row r="290" spans="1:23" ht="15" thickBot="1" x14ac:dyDescent="0.35">
      <c r="A290" s="2">
        <v>53</v>
      </c>
      <c r="B290" s="3" t="s">
        <v>14</v>
      </c>
      <c r="C290" s="2">
        <v>21.4</v>
      </c>
      <c r="D290" s="2">
        <v>1</v>
      </c>
      <c r="E290" s="3" t="s">
        <v>16</v>
      </c>
      <c r="F290" s="3" t="s">
        <v>8</v>
      </c>
      <c r="G290" s="4">
        <v>10065.41</v>
      </c>
      <c r="H290">
        <f t="shared" si="9"/>
        <v>2</v>
      </c>
      <c r="I290" s="6">
        <f t="shared" si="10"/>
        <v>5032.7049999999999</v>
      </c>
      <c r="L290" s="19"/>
      <c r="O290" s="2"/>
      <c r="P290" s="3"/>
      <c r="Q290" s="2"/>
      <c r="R290" s="2"/>
      <c r="S290" s="3"/>
      <c r="T290" s="3"/>
      <c r="U290" s="4"/>
      <c r="W290" s="6"/>
    </row>
    <row r="291" spans="1:23" ht="15" thickBot="1" x14ac:dyDescent="0.35">
      <c r="A291" s="2">
        <v>53</v>
      </c>
      <c r="B291" s="3" t="s">
        <v>14</v>
      </c>
      <c r="C291" s="2">
        <v>34.1</v>
      </c>
      <c r="D291" s="2">
        <v>0</v>
      </c>
      <c r="E291" s="3" t="s">
        <v>17</v>
      </c>
      <c r="F291" s="3" t="s">
        <v>9</v>
      </c>
      <c r="G291" s="4">
        <v>43254.42</v>
      </c>
      <c r="H291">
        <f t="shared" si="9"/>
        <v>1</v>
      </c>
      <c r="I291" s="6">
        <f t="shared" si="10"/>
        <v>43254.42</v>
      </c>
      <c r="L291" s="19"/>
      <c r="O291" s="2"/>
      <c r="P291" s="3"/>
      <c r="Q291" s="2"/>
      <c r="R291" s="2"/>
      <c r="S291" s="3"/>
      <c r="T291" s="3"/>
      <c r="U291" s="4"/>
      <c r="W291" s="6"/>
    </row>
    <row r="292" spans="1:23" ht="15" thickBot="1" x14ac:dyDescent="0.35">
      <c r="A292" s="2">
        <v>53</v>
      </c>
      <c r="B292" s="3" t="s">
        <v>15</v>
      </c>
      <c r="C292" s="2">
        <v>26.7</v>
      </c>
      <c r="D292" s="2">
        <v>2</v>
      </c>
      <c r="E292" s="3" t="s">
        <v>16</v>
      </c>
      <c r="F292" s="3" t="s">
        <v>8</v>
      </c>
      <c r="G292" s="4">
        <v>11150.78</v>
      </c>
      <c r="H292">
        <f t="shared" si="9"/>
        <v>3</v>
      </c>
      <c r="I292" s="6">
        <f t="shared" si="10"/>
        <v>3716.9266666666667</v>
      </c>
      <c r="L292" s="19"/>
      <c r="O292" s="2"/>
      <c r="P292" s="3"/>
      <c r="Q292" s="2"/>
      <c r="R292" s="2"/>
      <c r="S292" s="3"/>
      <c r="T292" s="3"/>
      <c r="U292" s="4"/>
      <c r="W292" s="6"/>
    </row>
    <row r="293" spans="1:23" ht="15" thickBot="1" x14ac:dyDescent="0.35">
      <c r="A293" s="2">
        <v>53</v>
      </c>
      <c r="B293" s="3" t="s">
        <v>14</v>
      </c>
      <c r="C293" s="2">
        <v>28.9</v>
      </c>
      <c r="D293" s="2">
        <v>0</v>
      </c>
      <c r="E293" s="3" t="s">
        <v>16</v>
      </c>
      <c r="F293" s="3" t="s">
        <v>7</v>
      </c>
      <c r="G293" s="4">
        <v>9869.81</v>
      </c>
      <c r="H293">
        <f t="shared" si="9"/>
        <v>1</v>
      </c>
      <c r="I293" s="6">
        <f t="shared" si="10"/>
        <v>9869.81</v>
      </c>
      <c r="L293" s="19"/>
      <c r="O293" s="2"/>
      <c r="P293" s="3"/>
      <c r="Q293" s="2"/>
      <c r="R293" s="2"/>
      <c r="S293" s="3"/>
      <c r="T293" s="3"/>
      <c r="U293" s="4"/>
      <c r="W293" s="6"/>
    </row>
    <row r="294" spans="1:23" ht="15" thickBot="1" x14ac:dyDescent="0.35">
      <c r="A294" s="2">
        <v>53</v>
      </c>
      <c r="B294" s="3" t="s">
        <v>14</v>
      </c>
      <c r="C294" s="2">
        <v>20.9</v>
      </c>
      <c r="D294" s="2">
        <v>0</v>
      </c>
      <c r="E294" s="3" t="s">
        <v>17</v>
      </c>
      <c r="F294" s="3" t="s">
        <v>10</v>
      </c>
      <c r="G294" s="4">
        <v>21195.82</v>
      </c>
      <c r="H294">
        <f t="shared" si="9"/>
        <v>1</v>
      </c>
      <c r="I294" s="6">
        <f t="shared" si="10"/>
        <v>21195.82</v>
      </c>
      <c r="L294" s="19"/>
      <c r="O294" s="2"/>
      <c r="P294" s="3"/>
      <c r="Q294" s="2"/>
      <c r="R294" s="2"/>
      <c r="S294" s="3"/>
      <c r="T294" s="3"/>
      <c r="U294" s="4"/>
      <c r="W294" s="6"/>
    </row>
    <row r="295" spans="1:23" ht="15" thickBot="1" x14ac:dyDescent="0.35">
      <c r="A295" s="2">
        <v>53</v>
      </c>
      <c r="B295" s="3" t="s">
        <v>14</v>
      </c>
      <c r="C295" s="2">
        <v>30.5</v>
      </c>
      <c r="D295" s="2">
        <v>0</v>
      </c>
      <c r="E295" s="3" t="s">
        <v>16</v>
      </c>
      <c r="F295" s="3" t="s">
        <v>9</v>
      </c>
      <c r="G295" s="4">
        <v>10072.06</v>
      </c>
      <c r="H295">
        <f t="shared" si="9"/>
        <v>1</v>
      </c>
      <c r="I295" s="6">
        <f t="shared" si="10"/>
        <v>10072.06</v>
      </c>
      <c r="L295" s="19"/>
      <c r="O295" s="2"/>
      <c r="P295" s="3"/>
      <c r="Q295" s="2"/>
      <c r="R295" s="2"/>
      <c r="S295" s="3"/>
      <c r="T295" s="3"/>
      <c r="U295" s="4"/>
      <c r="W295" s="6"/>
    </row>
    <row r="296" spans="1:23" ht="15" thickBot="1" x14ac:dyDescent="0.35">
      <c r="A296" s="2">
        <v>53</v>
      </c>
      <c r="B296" s="3" t="s">
        <v>15</v>
      </c>
      <c r="C296" s="2">
        <v>23.8</v>
      </c>
      <c r="D296" s="2">
        <v>2</v>
      </c>
      <c r="E296" s="3" t="s">
        <v>16</v>
      </c>
      <c r="F296" s="3" t="s">
        <v>9</v>
      </c>
      <c r="G296" s="4">
        <v>11729.68</v>
      </c>
      <c r="H296">
        <f t="shared" si="9"/>
        <v>3</v>
      </c>
      <c r="I296" s="6">
        <f t="shared" si="10"/>
        <v>3909.8933333333334</v>
      </c>
      <c r="L296" s="19"/>
      <c r="O296" s="2"/>
      <c r="P296" s="3"/>
      <c r="Q296" s="2"/>
      <c r="R296" s="2"/>
      <c r="S296" s="3"/>
      <c r="T296" s="3"/>
      <c r="U296" s="4"/>
      <c r="W296" s="6"/>
    </row>
    <row r="297" spans="1:23" ht="15" thickBot="1" x14ac:dyDescent="0.35">
      <c r="A297" s="2">
        <v>53</v>
      </c>
      <c r="B297" s="3" t="s">
        <v>14</v>
      </c>
      <c r="C297" s="2">
        <v>29.5</v>
      </c>
      <c r="D297" s="2">
        <v>0</v>
      </c>
      <c r="E297" s="3" t="s">
        <v>16</v>
      </c>
      <c r="F297" s="3" t="s">
        <v>10</v>
      </c>
      <c r="G297" s="4">
        <v>9487.64</v>
      </c>
      <c r="H297">
        <f t="shared" si="9"/>
        <v>1</v>
      </c>
      <c r="I297" s="6">
        <f t="shared" si="10"/>
        <v>9487.64</v>
      </c>
      <c r="L297" s="19"/>
      <c r="O297" s="2"/>
      <c r="P297" s="3"/>
      <c r="Q297" s="2"/>
      <c r="R297" s="2"/>
      <c r="S297" s="3"/>
      <c r="T297" s="3"/>
      <c r="U297" s="4"/>
      <c r="W297" s="6"/>
    </row>
    <row r="298" spans="1:23" ht="15" thickBot="1" x14ac:dyDescent="0.35">
      <c r="A298" s="2">
        <v>53</v>
      </c>
      <c r="B298" s="3" t="s">
        <v>14</v>
      </c>
      <c r="C298" s="2">
        <v>28.6</v>
      </c>
      <c r="D298" s="2">
        <v>3</v>
      </c>
      <c r="E298" s="3" t="s">
        <v>16</v>
      </c>
      <c r="F298" s="3" t="s">
        <v>8</v>
      </c>
      <c r="G298" s="4">
        <v>11253.42</v>
      </c>
      <c r="H298">
        <f t="shared" si="9"/>
        <v>4</v>
      </c>
      <c r="I298" s="6">
        <f t="shared" si="10"/>
        <v>2813.355</v>
      </c>
      <c r="L298" s="19"/>
      <c r="O298" s="2"/>
      <c r="P298" s="3"/>
      <c r="Q298" s="2"/>
      <c r="R298" s="2"/>
      <c r="S298" s="3"/>
      <c r="T298" s="3"/>
      <c r="U298" s="4"/>
      <c r="W298" s="6"/>
    </row>
    <row r="299" spans="1:23" ht="15" thickBot="1" x14ac:dyDescent="0.35">
      <c r="A299" s="2">
        <v>53</v>
      </c>
      <c r="B299" s="3" t="s">
        <v>15</v>
      </c>
      <c r="C299" s="2">
        <v>36.9</v>
      </c>
      <c r="D299" s="2">
        <v>3</v>
      </c>
      <c r="E299" s="3" t="s">
        <v>17</v>
      </c>
      <c r="F299" s="3" t="s">
        <v>7</v>
      </c>
      <c r="G299" s="4">
        <v>46661.440000000002</v>
      </c>
      <c r="H299">
        <f t="shared" si="9"/>
        <v>4</v>
      </c>
      <c r="I299" s="6">
        <f t="shared" si="10"/>
        <v>11665.36</v>
      </c>
      <c r="L299" s="19"/>
      <c r="O299" s="2"/>
      <c r="P299" s="3"/>
      <c r="Q299" s="2"/>
      <c r="R299" s="2"/>
      <c r="S299" s="3"/>
      <c r="T299" s="3"/>
      <c r="U299" s="4"/>
      <c r="W299" s="6"/>
    </row>
    <row r="300" spans="1:23" ht="15" thickBot="1" x14ac:dyDescent="0.35">
      <c r="A300" s="2">
        <v>52</v>
      </c>
      <c r="B300" s="3" t="s">
        <v>15</v>
      </c>
      <c r="C300" s="2">
        <v>30.8</v>
      </c>
      <c r="D300" s="2">
        <v>1</v>
      </c>
      <c r="E300" s="3" t="s">
        <v>16</v>
      </c>
      <c r="F300" s="3" t="s">
        <v>9</v>
      </c>
      <c r="G300" s="4">
        <v>10797.34</v>
      </c>
      <c r="H300">
        <f t="shared" si="9"/>
        <v>2</v>
      </c>
      <c r="I300" s="6">
        <f t="shared" si="10"/>
        <v>5398.67</v>
      </c>
      <c r="L300" s="19"/>
      <c r="O300" s="2"/>
      <c r="P300" s="3"/>
      <c r="Q300" s="2"/>
      <c r="R300" s="2"/>
      <c r="S300" s="3"/>
      <c r="T300" s="3"/>
      <c r="U300" s="4"/>
      <c r="W300" s="6"/>
    </row>
    <row r="301" spans="1:23" ht="15" thickBot="1" x14ac:dyDescent="0.35">
      <c r="A301" s="2">
        <v>52</v>
      </c>
      <c r="B301" s="3" t="s">
        <v>14</v>
      </c>
      <c r="C301" s="2">
        <v>32.200000000000003</v>
      </c>
      <c r="D301" s="2">
        <v>3</v>
      </c>
      <c r="E301" s="3" t="s">
        <v>16</v>
      </c>
      <c r="F301" s="3" t="s">
        <v>9</v>
      </c>
      <c r="G301" s="4">
        <v>11488.32</v>
      </c>
      <c r="H301">
        <f t="shared" si="9"/>
        <v>4</v>
      </c>
      <c r="I301" s="6">
        <f t="shared" si="10"/>
        <v>2872.08</v>
      </c>
      <c r="L301" s="19"/>
      <c r="O301" s="2"/>
      <c r="P301" s="3"/>
      <c r="Q301" s="2"/>
      <c r="R301" s="2"/>
      <c r="S301" s="3"/>
      <c r="T301" s="3"/>
      <c r="U301" s="4"/>
      <c r="W301" s="6"/>
    </row>
    <row r="302" spans="1:23" ht="15" thickBot="1" x14ac:dyDescent="0.35">
      <c r="A302" s="2">
        <v>52</v>
      </c>
      <c r="B302" s="3" t="s">
        <v>15</v>
      </c>
      <c r="C302" s="2">
        <v>37.4</v>
      </c>
      <c r="D302" s="2">
        <v>0</v>
      </c>
      <c r="E302" s="3" t="s">
        <v>16</v>
      </c>
      <c r="F302" s="3" t="s">
        <v>8</v>
      </c>
      <c r="G302" s="4">
        <v>9634.5400000000009</v>
      </c>
      <c r="H302">
        <f t="shared" si="9"/>
        <v>1</v>
      </c>
      <c r="I302" s="6">
        <f t="shared" si="10"/>
        <v>9634.5400000000009</v>
      </c>
      <c r="L302" s="19"/>
      <c r="O302" s="2"/>
      <c r="P302" s="3"/>
      <c r="Q302" s="2"/>
      <c r="R302" s="2"/>
      <c r="S302" s="3"/>
      <c r="T302" s="3"/>
      <c r="U302" s="4"/>
      <c r="W302" s="6"/>
    </row>
    <row r="303" spans="1:23" ht="15" thickBot="1" x14ac:dyDescent="0.35">
      <c r="A303" s="2">
        <v>52</v>
      </c>
      <c r="B303" s="3" t="s">
        <v>14</v>
      </c>
      <c r="C303" s="2">
        <v>24.3</v>
      </c>
      <c r="D303" s="2">
        <v>3</v>
      </c>
      <c r="E303" s="3" t="s">
        <v>17</v>
      </c>
      <c r="F303" s="3" t="s">
        <v>9</v>
      </c>
      <c r="G303" s="4">
        <v>24869.84</v>
      </c>
      <c r="H303">
        <f t="shared" si="9"/>
        <v>4</v>
      </c>
      <c r="I303" s="6">
        <f t="shared" si="10"/>
        <v>6217.46</v>
      </c>
      <c r="L303" s="19"/>
      <c r="O303" s="2"/>
      <c r="P303" s="3"/>
      <c r="Q303" s="2"/>
      <c r="R303" s="2"/>
      <c r="S303" s="3"/>
      <c r="T303" s="3"/>
      <c r="U303" s="4"/>
      <c r="W303" s="6"/>
    </row>
    <row r="304" spans="1:23" ht="15" thickBot="1" x14ac:dyDescent="0.35">
      <c r="A304" s="2">
        <v>52</v>
      </c>
      <c r="B304" s="3" t="s">
        <v>15</v>
      </c>
      <c r="C304" s="2">
        <v>31.2</v>
      </c>
      <c r="D304" s="2">
        <v>0</v>
      </c>
      <c r="E304" s="3" t="s">
        <v>16</v>
      </c>
      <c r="F304" s="3" t="s">
        <v>8</v>
      </c>
      <c r="G304" s="4">
        <v>9625.92</v>
      </c>
      <c r="H304">
        <f t="shared" si="9"/>
        <v>1</v>
      </c>
      <c r="I304" s="6">
        <f t="shared" si="10"/>
        <v>9625.92</v>
      </c>
      <c r="L304" s="19"/>
      <c r="O304" s="2"/>
      <c r="P304" s="3"/>
      <c r="Q304" s="2"/>
      <c r="R304" s="2"/>
      <c r="S304" s="3"/>
      <c r="T304" s="3"/>
      <c r="U304" s="4"/>
      <c r="W304" s="6"/>
    </row>
    <row r="305" spans="1:23" ht="15" thickBot="1" x14ac:dyDescent="0.35">
      <c r="A305" s="2">
        <v>52</v>
      </c>
      <c r="B305" s="3" t="s">
        <v>14</v>
      </c>
      <c r="C305" s="2">
        <v>26.4</v>
      </c>
      <c r="D305" s="2">
        <v>3</v>
      </c>
      <c r="E305" s="3" t="s">
        <v>16</v>
      </c>
      <c r="F305" s="3" t="s">
        <v>10</v>
      </c>
      <c r="G305" s="4">
        <v>25992.82</v>
      </c>
      <c r="H305">
        <f t="shared" si="9"/>
        <v>4</v>
      </c>
      <c r="I305" s="6">
        <f t="shared" si="10"/>
        <v>6498.2049999999999</v>
      </c>
      <c r="L305" s="19"/>
      <c r="O305" s="2"/>
      <c r="P305" s="3"/>
      <c r="Q305" s="2"/>
      <c r="R305" s="2"/>
      <c r="S305" s="3"/>
      <c r="T305" s="3"/>
      <c r="U305" s="4"/>
      <c r="W305" s="6"/>
    </row>
    <row r="306" spans="1:23" ht="15" thickBot="1" x14ac:dyDescent="0.35">
      <c r="A306" s="2">
        <v>52</v>
      </c>
      <c r="B306" s="3" t="s">
        <v>14</v>
      </c>
      <c r="C306" s="2">
        <v>33.299999999999997</v>
      </c>
      <c r="D306" s="2">
        <v>0</v>
      </c>
      <c r="E306" s="3" t="s">
        <v>16</v>
      </c>
      <c r="F306" s="3" t="s">
        <v>9</v>
      </c>
      <c r="G306" s="4">
        <v>9722.77</v>
      </c>
      <c r="H306">
        <f t="shared" si="9"/>
        <v>1</v>
      </c>
      <c r="I306" s="6">
        <f t="shared" si="10"/>
        <v>9722.77</v>
      </c>
      <c r="L306" s="19"/>
      <c r="O306" s="2"/>
      <c r="P306" s="3"/>
      <c r="Q306" s="2"/>
      <c r="R306" s="2"/>
      <c r="S306" s="3"/>
      <c r="T306" s="3"/>
      <c r="U306" s="4"/>
      <c r="W306" s="6"/>
    </row>
    <row r="307" spans="1:23" ht="15" thickBot="1" x14ac:dyDescent="0.35">
      <c r="A307" s="2">
        <v>52</v>
      </c>
      <c r="B307" s="3" t="s">
        <v>14</v>
      </c>
      <c r="C307" s="2">
        <v>36.700000000000003</v>
      </c>
      <c r="D307" s="2">
        <v>0</v>
      </c>
      <c r="E307" s="3" t="s">
        <v>16</v>
      </c>
      <c r="F307" s="3" t="s">
        <v>8</v>
      </c>
      <c r="G307" s="4">
        <v>9144.57</v>
      </c>
      <c r="H307">
        <f t="shared" si="9"/>
        <v>1</v>
      </c>
      <c r="I307" s="6">
        <f t="shared" si="10"/>
        <v>9144.57</v>
      </c>
      <c r="L307" s="19"/>
      <c r="O307" s="2"/>
      <c r="P307" s="3"/>
      <c r="Q307" s="2"/>
      <c r="R307" s="2"/>
      <c r="S307" s="3"/>
      <c r="T307" s="3"/>
      <c r="U307" s="4"/>
      <c r="W307" s="6"/>
    </row>
    <row r="308" spans="1:23" ht="15" thickBot="1" x14ac:dyDescent="0.35">
      <c r="A308" s="2">
        <v>52</v>
      </c>
      <c r="B308" s="3" t="s">
        <v>14</v>
      </c>
      <c r="C308" s="2">
        <v>27.4</v>
      </c>
      <c r="D308" s="2">
        <v>0</v>
      </c>
      <c r="E308" s="3" t="s">
        <v>17</v>
      </c>
      <c r="F308" s="3" t="s">
        <v>7</v>
      </c>
      <c r="G308" s="4">
        <v>24393.62</v>
      </c>
      <c r="H308">
        <f t="shared" si="9"/>
        <v>1</v>
      </c>
      <c r="I308" s="6">
        <f t="shared" si="10"/>
        <v>24393.62</v>
      </c>
      <c r="L308" s="19"/>
      <c r="O308" s="2"/>
      <c r="P308" s="3"/>
      <c r="Q308" s="2"/>
      <c r="R308" s="2"/>
      <c r="S308" s="3"/>
      <c r="T308" s="3"/>
      <c r="U308" s="4"/>
      <c r="W308" s="6"/>
    </row>
    <row r="309" spans="1:23" ht="15" thickBot="1" x14ac:dyDescent="0.35">
      <c r="A309" s="2">
        <v>52</v>
      </c>
      <c r="B309" s="3" t="s">
        <v>15</v>
      </c>
      <c r="C309" s="2">
        <v>38.4</v>
      </c>
      <c r="D309" s="2">
        <v>2</v>
      </c>
      <c r="E309" s="3" t="s">
        <v>16</v>
      </c>
      <c r="F309" s="3" t="s">
        <v>9</v>
      </c>
      <c r="G309" s="4">
        <v>11396.9</v>
      </c>
      <c r="H309">
        <f t="shared" si="9"/>
        <v>3</v>
      </c>
      <c r="I309" s="6">
        <f t="shared" si="10"/>
        <v>3798.9666666666667</v>
      </c>
      <c r="L309" s="19"/>
      <c r="O309" s="2"/>
      <c r="P309" s="3"/>
      <c r="Q309" s="2"/>
      <c r="R309" s="2"/>
      <c r="S309" s="3"/>
      <c r="T309" s="3"/>
      <c r="U309" s="4"/>
      <c r="W309" s="6"/>
    </row>
    <row r="310" spans="1:23" ht="15" thickBot="1" x14ac:dyDescent="0.35">
      <c r="A310" s="2">
        <v>52</v>
      </c>
      <c r="B310" s="3" t="s">
        <v>14</v>
      </c>
      <c r="C310" s="2">
        <v>34.1</v>
      </c>
      <c r="D310" s="2">
        <v>0</v>
      </c>
      <c r="E310" s="3" t="s">
        <v>16</v>
      </c>
      <c r="F310" s="3" t="s">
        <v>10</v>
      </c>
      <c r="G310" s="4">
        <v>9140.9500000000007</v>
      </c>
      <c r="H310">
        <f t="shared" si="9"/>
        <v>1</v>
      </c>
      <c r="I310" s="6">
        <f t="shared" si="10"/>
        <v>9140.9500000000007</v>
      </c>
      <c r="L310" s="19"/>
      <c r="O310" s="2"/>
      <c r="P310" s="3"/>
      <c r="Q310" s="2"/>
      <c r="R310" s="2"/>
      <c r="S310" s="3"/>
      <c r="T310" s="3"/>
      <c r="U310" s="4"/>
      <c r="W310" s="6"/>
    </row>
    <row r="311" spans="1:23" ht="15" thickBot="1" x14ac:dyDescent="0.35">
      <c r="A311" s="2">
        <v>52</v>
      </c>
      <c r="B311" s="3" t="s">
        <v>15</v>
      </c>
      <c r="C311" s="2">
        <v>46.8</v>
      </c>
      <c r="D311" s="2">
        <v>5</v>
      </c>
      <c r="E311" s="3" t="s">
        <v>16</v>
      </c>
      <c r="F311" s="3" t="s">
        <v>10</v>
      </c>
      <c r="G311" s="4">
        <v>12592.53</v>
      </c>
      <c r="H311">
        <f t="shared" si="9"/>
        <v>6</v>
      </c>
      <c r="I311" s="6">
        <f t="shared" si="10"/>
        <v>2098.7550000000001</v>
      </c>
      <c r="L311" s="19"/>
      <c r="O311" s="2"/>
      <c r="P311" s="3"/>
      <c r="Q311" s="2"/>
      <c r="R311" s="2"/>
      <c r="S311" s="3"/>
      <c r="T311" s="3"/>
      <c r="U311" s="4"/>
      <c r="W311" s="6"/>
    </row>
    <row r="312" spans="1:23" ht="15" thickBot="1" x14ac:dyDescent="0.35">
      <c r="A312" s="2">
        <v>52</v>
      </c>
      <c r="B312" s="3" t="s">
        <v>15</v>
      </c>
      <c r="C312" s="2">
        <v>31.7</v>
      </c>
      <c r="D312" s="2">
        <v>2</v>
      </c>
      <c r="E312" s="3" t="s">
        <v>16</v>
      </c>
      <c r="F312" s="3" t="s">
        <v>7</v>
      </c>
      <c r="G312" s="4">
        <v>11187.66</v>
      </c>
      <c r="H312">
        <f t="shared" si="9"/>
        <v>3</v>
      </c>
      <c r="I312" s="6">
        <f t="shared" si="10"/>
        <v>3729.22</v>
      </c>
      <c r="L312" s="19"/>
      <c r="O312" s="2"/>
      <c r="P312" s="3"/>
      <c r="Q312" s="2"/>
      <c r="R312" s="2"/>
      <c r="S312" s="3"/>
      <c r="T312" s="3"/>
      <c r="U312" s="4"/>
      <c r="W312" s="6"/>
    </row>
    <row r="313" spans="1:23" ht="15" thickBot="1" x14ac:dyDescent="0.35">
      <c r="A313" s="2">
        <v>52</v>
      </c>
      <c r="B313" s="3" t="s">
        <v>14</v>
      </c>
      <c r="C313" s="2">
        <v>30.2</v>
      </c>
      <c r="D313" s="2">
        <v>1</v>
      </c>
      <c r="E313" s="3" t="s">
        <v>16</v>
      </c>
      <c r="F313" s="3" t="s">
        <v>8</v>
      </c>
      <c r="G313" s="4">
        <v>9724.5300000000007</v>
      </c>
      <c r="H313">
        <f t="shared" si="9"/>
        <v>2</v>
      </c>
      <c r="I313" s="6">
        <f t="shared" si="10"/>
        <v>4862.2650000000003</v>
      </c>
      <c r="L313" s="19"/>
      <c r="O313" s="2"/>
      <c r="P313" s="3"/>
      <c r="Q313" s="2"/>
      <c r="R313" s="2"/>
      <c r="S313" s="3"/>
      <c r="T313" s="3"/>
      <c r="U313" s="4"/>
      <c r="W313" s="6"/>
    </row>
    <row r="314" spans="1:23" ht="15" thickBot="1" x14ac:dyDescent="0.35">
      <c r="A314" s="2">
        <v>52</v>
      </c>
      <c r="B314" s="3" t="s">
        <v>15</v>
      </c>
      <c r="C314" s="2">
        <v>37.5</v>
      </c>
      <c r="D314" s="2">
        <v>2</v>
      </c>
      <c r="E314" s="3" t="s">
        <v>16</v>
      </c>
      <c r="F314" s="3" t="s">
        <v>7</v>
      </c>
      <c r="G314" s="4">
        <v>33471.97</v>
      </c>
      <c r="H314">
        <f t="shared" si="9"/>
        <v>3</v>
      </c>
      <c r="I314" s="6">
        <f t="shared" si="10"/>
        <v>11157.323333333334</v>
      </c>
      <c r="L314" s="19"/>
      <c r="O314" s="2"/>
      <c r="P314" s="3"/>
      <c r="Q314" s="2"/>
      <c r="R314" s="2"/>
      <c r="S314" s="3"/>
      <c r="T314" s="3"/>
      <c r="U314" s="4"/>
      <c r="W314" s="6"/>
    </row>
    <row r="315" spans="1:23" ht="15" thickBot="1" x14ac:dyDescent="0.35">
      <c r="A315" s="2">
        <v>52</v>
      </c>
      <c r="B315" s="3" t="s">
        <v>15</v>
      </c>
      <c r="C315" s="2">
        <v>25.3</v>
      </c>
      <c r="D315" s="2">
        <v>2</v>
      </c>
      <c r="E315" s="3" t="s">
        <v>17</v>
      </c>
      <c r="F315" s="3" t="s">
        <v>10</v>
      </c>
      <c r="G315" s="4">
        <v>24667.42</v>
      </c>
      <c r="H315">
        <f t="shared" si="9"/>
        <v>3</v>
      </c>
      <c r="I315" s="6">
        <f t="shared" si="10"/>
        <v>8222.4733333333334</v>
      </c>
      <c r="L315" s="19"/>
      <c r="O315" s="2"/>
      <c r="P315" s="3"/>
      <c r="Q315" s="2"/>
      <c r="R315" s="2"/>
      <c r="S315" s="3"/>
      <c r="T315" s="3"/>
      <c r="U315" s="4"/>
      <c r="W315" s="6"/>
    </row>
    <row r="316" spans="1:23" ht="15" thickBot="1" x14ac:dyDescent="0.35">
      <c r="A316" s="2">
        <v>52</v>
      </c>
      <c r="B316" s="3" t="s">
        <v>14</v>
      </c>
      <c r="C316" s="2">
        <v>36.799999999999997</v>
      </c>
      <c r="D316" s="2">
        <v>2</v>
      </c>
      <c r="E316" s="3" t="s">
        <v>16</v>
      </c>
      <c r="F316" s="3" t="s">
        <v>7</v>
      </c>
      <c r="G316" s="4">
        <v>26467.1</v>
      </c>
      <c r="H316">
        <f t="shared" si="9"/>
        <v>3</v>
      </c>
      <c r="I316" s="6">
        <f t="shared" si="10"/>
        <v>8822.3666666666668</v>
      </c>
      <c r="L316" s="19"/>
      <c r="O316" s="2"/>
      <c r="P316" s="3"/>
      <c r="Q316" s="2"/>
      <c r="R316" s="2"/>
      <c r="S316" s="3"/>
      <c r="T316" s="3"/>
      <c r="U316" s="4"/>
      <c r="W316" s="6"/>
    </row>
    <row r="317" spans="1:23" ht="15" thickBot="1" x14ac:dyDescent="0.35">
      <c r="A317" s="2">
        <v>52</v>
      </c>
      <c r="B317" s="3" t="s">
        <v>14</v>
      </c>
      <c r="C317" s="2">
        <v>47.7</v>
      </c>
      <c r="D317" s="2">
        <v>1</v>
      </c>
      <c r="E317" s="3" t="s">
        <v>16</v>
      </c>
      <c r="F317" s="3" t="s">
        <v>10</v>
      </c>
      <c r="G317" s="4">
        <v>9748.91</v>
      </c>
      <c r="H317">
        <f t="shared" si="9"/>
        <v>2</v>
      </c>
      <c r="I317" s="6">
        <f t="shared" si="10"/>
        <v>4874.4549999999999</v>
      </c>
      <c r="L317" s="19"/>
      <c r="O317" s="2"/>
      <c r="P317" s="3"/>
      <c r="Q317" s="2"/>
      <c r="R317" s="2"/>
      <c r="S317" s="3"/>
      <c r="T317" s="3"/>
      <c r="U317" s="4"/>
      <c r="W317" s="6"/>
    </row>
    <row r="318" spans="1:23" ht="15" thickBot="1" x14ac:dyDescent="0.35">
      <c r="A318" s="2">
        <v>52</v>
      </c>
      <c r="B318" s="3" t="s">
        <v>15</v>
      </c>
      <c r="C318" s="2">
        <v>30.9</v>
      </c>
      <c r="D318" s="2">
        <v>0</v>
      </c>
      <c r="E318" s="3" t="s">
        <v>16</v>
      </c>
      <c r="F318" s="3" t="s">
        <v>9</v>
      </c>
      <c r="G318" s="4">
        <v>23045.57</v>
      </c>
      <c r="H318">
        <f t="shared" si="9"/>
        <v>1</v>
      </c>
      <c r="I318" s="6">
        <f t="shared" si="10"/>
        <v>23045.57</v>
      </c>
      <c r="L318" s="19"/>
      <c r="O318" s="2"/>
      <c r="P318" s="3"/>
      <c r="Q318" s="2"/>
      <c r="R318" s="2"/>
      <c r="S318" s="3"/>
      <c r="T318" s="3"/>
      <c r="U318" s="4"/>
      <c r="W318" s="6"/>
    </row>
    <row r="319" spans="1:23" ht="15" thickBot="1" x14ac:dyDescent="0.35">
      <c r="A319" s="2">
        <v>52</v>
      </c>
      <c r="B319" s="3" t="s">
        <v>15</v>
      </c>
      <c r="C319" s="2">
        <v>18.3</v>
      </c>
      <c r="D319" s="2">
        <v>0</v>
      </c>
      <c r="E319" s="3" t="s">
        <v>16</v>
      </c>
      <c r="F319" s="3" t="s">
        <v>7</v>
      </c>
      <c r="G319" s="4">
        <v>9991.0400000000009</v>
      </c>
      <c r="H319">
        <f t="shared" si="9"/>
        <v>1</v>
      </c>
      <c r="I319" s="6">
        <f t="shared" si="10"/>
        <v>9991.0400000000009</v>
      </c>
      <c r="L319" s="19"/>
      <c r="O319" s="2"/>
      <c r="P319" s="3"/>
      <c r="Q319" s="2"/>
      <c r="R319" s="2"/>
      <c r="S319" s="3"/>
      <c r="T319" s="3"/>
      <c r="U319" s="4"/>
      <c r="W319" s="6"/>
    </row>
    <row r="320" spans="1:23" ht="15" thickBot="1" x14ac:dyDescent="0.35">
      <c r="A320" s="2">
        <v>52</v>
      </c>
      <c r="B320" s="3" t="s">
        <v>15</v>
      </c>
      <c r="C320" s="2">
        <v>24.9</v>
      </c>
      <c r="D320" s="2">
        <v>0</v>
      </c>
      <c r="E320" s="3" t="s">
        <v>16</v>
      </c>
      <c r="F320" s="3" t="s">
        <v>10</v>
      </c>
      <c r="G320" s="4">
        <v>27117.99</v>
      </c>
      <c r="H320">
        <f t="shared" si="9"/>
        <v>1</v>
      </c>
      <c r="I320" s="6">
        <f t="shared" si="10"/>
        <v>27117.99</v>
      </c>
      <c r="L320" s="19"/>
      <c r="O320" s="2"/>
      <c r="P320" s="3"/>
      <c r="Q320" s="2"/>
      <c r="R320" s="2"/>
      <c r="S320" s="3"/>
      <c r="T320" s="3"/>
      <c r="U320" s="4"/>
      <c r="W320" s="6"/>
    </row>
    <row r="321" spans="1:23" ht="15" thickBot="1" x14ac:dyDescent="0.35">
      <c r="A321" s="2">
        <v>52</v>
      </c>
      <c r="B321" s="3" t="s">
        <v>14</v>
      </c>
      <c r="C321" s="2">
        <v>32.799999999999997</v>
      </c>
      <c r="D321" s="2">
        <v>3</v>
      </c>
      <c r="E321" s="3" t="s">
        <v>16</v>
      </c>
      <c r="F321" s="3" t="s">
        <v>7</v>
      </c>
      <c r="G321" s="4">
        <v>11289.11</v>
      </c>
      <c r="H321">
        <f t="shared" si="9"/>
        <v>4</v>
      </c>
      <c r="I321" s="6">
        <f t="shared" si="10"/>
        <v>2822.2775000000001</v>
      </c>
      <c r="L321" s="19"/>
      <c r="O321" s="2"/>
      <c r="P321" s="3"/>
      <c r="Q321" s="2"/>
      <c r="R321" s="2"/>
      <c r="S321" s="3"/>
      <c r="T321" s="3"/>
      <c r="U321" s="4"/>
      <c r="W321" s="6"/>
    </row>
    <row r="322" spans="1:23" ht="15" thickBot="1" x14ac:dyDescent="0.35">
      <c r="A322" s="2">
        <v>52</v>
      </c>
      <c r="B322" s="3" t="s">
        <v>15</v>
      </c>
      <c r="C322" s="2">
        <v>24.1</v>
      </c>
      <c r="D322" s="2">
        <v>1</v>
      </c>
      <c r="E322" s="3" t="s">
        <v>17</v>
      </c>
      <c r="F322" s="3" t="s">
        <v>7</v>
      </c>
      <c r="G322" s="4">
        <v>23887.66</v>
      </c>
      <c r="H322">
        <f t="shared" si="9"/>
        <v>2</v>
      </c>
      <c r="I322" s="6">
        <f t="shared" si="10"/>
        <v>11943.83</v>
      </c>
      <c r="L322" s="19"/>
      <c r="O322" s="2"/>
      <c r="P322" s="3"/>
      <c r="Q322" s="2"/>
      <c r="R322" s="2"/>
      <c r="S322" s="3"/>
      <c r="T322" s="3"/>
      <c r="U322" s="4"/>
      <c r="W322" s="6"/>
    </row>
    <row r="323" spans="1:23" ht="15" thickBot="1" x14ac:dyDescent="0.35">
      <c r="A323" s="2">
        <v>52</v>
      </c>
      <c r="B323" s="3" t="s">
        <v>15</v>
      </c>
      <c r="C323" s="2">
        <v>33.299999999999997</v>
      </c>
      <c r="D323" s="2">
        <v>2</v>
      </c>
      <c r="E323" s="3" t="s">
        <v>16</v>
      </c>
      <c r="F323" s="3" t="s">
        <v>8</v>
      </c>
      <c r="G323" s="4">
        <v>10806.84</v>
      </c>
      <c r="H323">
        <f t="shared" ref="H323:H386" si="11">D323+1</f>
        <v>3</v>
      </c>
      <c r="I323" s="6">
        <f t="shared" ref="I323:I386" si="12">G323/H323</f>
        <v>3602.28</v>
      </c>
      <c r="L323" s="19"/>
      <c r="O323" s="2"/>
      <c r="P323" s="3"/>
      <c r="Q323" s="2"/>
      <c r="R323" s="2"/>
      <c r="S323" s="3"/>
      <c r="T323" s="3"/>
      <c r="U323" s="4"/>
      <c r="W323" s="6"/>
    </row>
    <row r="324" spans="1:23" ht="15" thickBot="1" x14ac:dyDescent="0.35">
      <c r="A324" s="2">
        <v>52</v>
      </c>
      <c r="B324" s="3" t="s">
        <v>14</v>
      </c>
      <c r="C324" s="2">
        <v>34.5</v>
      </c>
      <c r="D324" s="2">
        <v>3</v>
      </c>
      <c r="E324" s="3" t="s">
        <v>17</v>
      </c>
      <c r="F324" s="3" t="s">
        <v>7</v>
      </c>
      <c r="G324" s="4">
        <v>60021.4</v>
      </c>
      <c r="H324">
        <f t="shared" si="11"/>
        <v>4</v>
      </c>
      <c r="I324" s="6">
        <f t="shared" si="12"/>
        <v>15005.35</v>
      </c>
      <c r="L324" s="19"/>
      <c r="O324" s="2"/>
      <c r="P324" s="3"/>
      <c r="Q324" s="2"/>
      <c r="R324" s="2"/>
      <c r="S324" s="3"/>
      <c r="T324" s="3"/>
      <c r="U324" s="4"/>
      <c r="W324" s="6"/>
    </row>
    <row r="325" spans="1:23" ht="15" thickBot="1" x14ac:dyDescent="0.35">
      <c r="A325" s="2">
        <v>52</v>
      </c>
      <c r="B325" s="3" t="s">
        <v>14</v>
      </c>
      <c r="C325" s="2">
        <v>41.8</v>
      </c>
      <c r="D325" s="2">
        <v>2</v>
      </c>
      <c r="E325" s="3" t="s">
        <v>17</v>
      </c>
      <c r="F325" s="3" t="s">
        <v>10</v>
      </c>
      <c r="G325" s="4">
        <v>47269.85</v>
      </c>
      <c r="H325">
        <f t="shared" si="11"/>
        <v>3</v>
      </c>
      <c r="I325" s="6">
        <f t="shared" si="12"/>
        <v>15756.616666666667</v>
      </c>
      <c r="L325" s="19"/>
      <c r="O325" s="2"/>
      <c r="P325" s="3"/>
      <c r="Q325" s="2"/>
      <c r="R325" s="2"/>
      <c r="S325" s="3"/>
      <c r="T325" s="3"/>
      <c r="U325" s="4"/>
      <c r="W325" s="6"/>
    </row>
    <row r="326" spans="1:23" ht="15" thickBot="1" x14ac:dyDescent="0.35">
      <c r="A326" s="2">
        <v>52</v>
      </c>
      <c r="B326" s="3" t="s">
        <v>15</v>
      </c>
      <c r="C326" s="2">
        <v>23.2</v>
      </c>
      <c r="D326" s="2">
        <v>0</v>
      </c>
      <c r="E326" s="3" t="s">
        <v>16</v>
      </c>
      <c r="F326" s="3" t="s">
        <v>9</v>
      </c>
      <c r="G326" s="4">
        <v>10197.77</v>
      </c>
      <c r="H326">
        <f t="shared" si="11"/>
        <v>1</v>
      </c>
      <c r="I326" s="6">
        <f t="shared" si="12"/>
        <v>10197.77</v>
      </c>
      <c r="L326" s="19"/>
      <c r="O326" s="2"/>
      <c r="P326" s="3"/>
      <c r="Q326" s="2"/>
      <c r="R326" s="2"/>
      <c r="S326" s="3"/>
      <c r="T326" s="3"/>
      <c r="U326" s="4"/>
      <c r="W326" s="6"/>
    </row>
    <row r="327" spans="1:23" ht="15" thickBot="1" x14ac:dyDescent="0.35">
      <c r="A327" s="2">
        <v>52</v>
      </c>
      <c r="B327" s="3" t="s">
        <v>14</v>
      </c>
      <c r="C327" s="2">
        <v>38.6</v>
      </c>
      <c r="D327" s="2">
        <v>2</v>
      </c>
      <c r="E327" s="3" t="s">
        <v>16</v>
      </c>
      <c r="F327" s="3" t="s">
        <v>8</v>
      </c>
      <c r="G327" s="4">
        <v>10325.209999999999</v>
      </c>
      <c r="H327">
        <f t="shared" si="11"/>
        <v>3</v>
      </c>
      <c r="I327" s="6">
        <f t="shared" si="12"/>
        <v>3441.7366666666662</v>
      </c>
      <c r="L327" s="19"/>
      <c r="O327" s="2"/>
      <c r="P327" s="3"/>
      <c r="Q327" s="2"/>
      <c r="R327" s="2"/>
      <c r="S327" s="3"/>
      <c r="T327" s="3"/>
      <c r="U327" s="4"/>
      <c r="W327" s="6"/>
    </row>
    <row r="328" spans="1:23" ht="15" thickBot="1" x14ac:dyDescent="0.35">
      <c r="A328" s="2">
        <v>52</v>
      </c>
      <c r="B328" s="3" t="s">
        <v>15</v>
      </c>
      <c r="C328" s="2">
        <v>44.7</v>
      </c>
      <c r="D328" s="2">
        <v>3</v>
      </c>
      <c r="E328" s="3" t="s">
        <v>16</v>
      </c>
      <c r="F328" s="3" t="s">
        <v>8</v>
      </c>
      <c r="G328" s="4">
        <v>11411.69</v>
      </c>
      <c r="H328">
        <f t="shared" si="11"/>
        <v>4</v>
      </c>
      <c r="I328" s="6">
        <f t="shared" si="12"/>
        <v>2852.9225000000001</v>
      </c>
      <c r="L328" s="19"/>
      <c r="O328" s="2"/>
      <c r="P328" s="3"/>
      <c r="Q328" s="2"/>
      <c r="R328" s="2"/>
      <c r="S328" s="3"/>
      <c r="T328" s="3"/>
      <c r="U328" s="4"/>
      <c r="W328" s="6"/>
    </row>
    <row r="329" spans="1:23" ht="15" thickBot="1" x14ac:dyDescent="0.35">
      <c r="A329" s="2">
        <v>51</v>
      </c>
      <c r="B329" s="3" t="s">
        <v>15</v>
      </c>
      <c r="C329" s="2">
        <v>37.700000000000003</v>
      </c>
      <c r="D329" s="2">
        <v>1</v>
      </c>
      <c r="E329" s="3" t="s">
        <v>16</v>
      </c>
      <c r="F329" s="3" t="s">
        <v>10</v>
      </c>
      <c r="G329" s="4">
        <v>9877.61</v>
      </c>
      <c r="H329">
        <f t="shared" si="11"/>
        <v>2</v>
      </c>
      <c r="I329" s="6">
        <f t="shared" si="12"/>
        <v>4938.8050000000003</v>
      </c>
      <c r="L329" s="19"/>
      <c r="O329" s="2"/>
      <c r="P329" s="3"/>
      <c r="Q329" s="2"/>
      <c r="R329" s="2"/>
      <c r="S329" s="3"/>
      <c r="T329" s="3"/>
      <c r="U329" s="4"/>
      <c r="W329" s="6"/>
    </row>
    <row r="330" spans="1:23" ht="15" thickBot="1" x14ac:dyDescent="0.35">
      <c r="A330" s="2">
        <v>51</v>
      </c>
      <c r="B330" s="3" t="s">
        <v>15</v>
      </c>
      <c r="C330" s="2">
        <v>18.100000000000001</v>
      </c>
      <c r="D330" s="2">
        <v>0</v>
      </c>
      <c r="E330" s="3" t="s">
        <v>16</v>
      </c>
      <c r="F330" s="3" t="s">
        <v>7</v>
      </c>
      <c r="G330" s="4">
        <v>9644.25</v>
      </c>
      <c r="H330">
        <f t="shared" si="11"/>
        <v>1</v>
      </c>
      <c r="I330" s="6">
        <f t="shared" si="12"/>
        <v>9644.25</v>
      </c>
      <c r="L330" s="19"/>
      <c r="O330" s="2"/>
      <c r="P330" s="3"/>
      <c r="Q330" s="2"/>
      <c r="R330" s="2"/>
      <c r="S330" s="3"/>
      <c r="T330" s="3"/>
      <c r="U330" s="4"/>
      <c r="W330" s="6"/>
    </row>
    <row r="331" spans="1:23" ht="15" thickBot="1" x14ac:dyDescent="0.35">
      <c r="A331" s="2">
        <v>51</v>
      </c>
      <c r="B331" s="3" t="s">
        <v>14</v>
      </c>
      <c r="C331" s="2">
        <v>24.4</v>
      </c>
      <c r="D331" s="2">
        <v>4</v>
      </c>
      <c r="E331" s="3" t="s">
        <v>16</v>
      </c>
      <c r="F331" s="3" t="s">
        <v>7</v>
      </c>
      <c r="G331" s="4">
        <v>11520.1</v>
      </c>
      <c r="H331">
        <f t="shared" si="11"/>
        <v>5</v>
      </c>
      <c r="I331" s="6">
        <f t="shared" si="12"/>
        <v>2304.02</v>
      </c>
      <c r="L331" s="19"/>
      <c r="O331" s="2"/>
      <c r="P331" s="3"/>
      <c r="Q331" s="2"/>
      <c r="R331" s="2"/>
      <c r="S331" s="3"/>
      <c r="T331" s="3"/>
      <c r="U331" s="4"/>
      <c r="W331" s="6"/>
    </row>
    <row r="332" spans="1:23" ht="15" thickBot="1" x14ac:dyDescent="0.35">
      <c r="A332" s="2">
        <v>51</v>
      </c>
      <c r="B332" s="3" t="s">
        <v>15</v>
      </c>
      <c r="C332" s="2">
        <v>21.6</v>
      </c>
      <c r="D332" s="2">
        <v>1</v>
      </c>
      <c r="E332" s="3" t="s">
        <v>16</v>
      </c>
      <c r="F332" s="3" t="s">
        <v>10</v>
      </c>
      <c r="G332" s="4">
        <v>9855.1299999999992</v>
      </c>
      <c r="H332">
        <f t="shared" si="11"/>
        <v>2</v>
      </c>
      <c r="I332" s="6">
        <f t="shared" si="12"/>
        <v>4927.5649999999996</v>
      </c>
      <c r="L332" s="19"/>
      <c r="O332" s="2"/>
      <c r="P332" s="3"/>
      <c r="Q332" s="2"/>
      <c r="R332" s="2"/>
      <c r="S332" s="3"/>
      <c r="T332" s="3"/>
      <c r="U332" s="4"/>
      <c r="W332" s="6"/>
    </row>
    <row r="333" spans="1:23" ht="15" thickBot="1" x14ac:dyDescent="0.35">
      <c r="A333" s="2">
        <v>51</v>
      </c>
      <c r="B333" s="3" t="s">
        <v>15</v>
      </c>
      <c r="C333" s="2">
        <v>20.6</v>
      </c>
      <c r="D333" s="2">
        <v>0</v>
      </c>
      <c r="E333" s="3" t="s">
        <v>16</v>
      </c>
      <c r="F333" s="3" t="s">
        <v>8</v>
      </c>
      <c r="G333" s="4">
        <v>9264.7999999999993</v>
      </c>
      <c r="H333">
        <f t="shared" si="11"/>
        <v>1</v>
      </c>
      <c r="I333" s="6">
        <f t="shared" si="12"/>
        <v>9264.7999999999993</v>
      </c>
      <c r="L333" s="19"/>
      <c r="O333" s="2"/>
      <c r="P333" s="3"/>
      <c r="Q333" s="2"/>
      <c r="R333" s="2"/>
      <c r="S333" s="3"/>
      <c r="T333" s="3"/>
      <c r="U333" s="4"/>
      <c r="W333" s="6"/>
    </row>
    <row r="334" spans="1:23" ht="15" thickBot="1" x14ac:dyDescent="0.35">
      <c r="A334" s="2">
        <v>51</v>
      </c>
      <c r="B334" s="3" t="s">
        <v>15</v>
      </c>
      <c r="C334" s="2">
        <v>39.5</v>
      </c>
      <c r="D334" s="2">
        <v>1</v>
      </c>
      <c r="E334" s="3" t="s">
        <v>16</v>
      </c>
      <c r="F334" s="3" t="s">
        <v>8</v>
      </c>
      <c r="G334" s="4">
        <v>9880.07</v>
      </c>
      <c r="H334">
        <f t="shared" si="11"/>
        <v>2</v>
      </c>
      <c r="I334" s="6">
        <f t="shared" si="12"/>
        <v>4940.0349999999999</v>
      </c>
      <c r="L334" s="19"/>
      <c r="O334" s="2"/>
      <c r="P334" s="3"/>
      <c r="Q334" s="2"/>
      <c r="R334" s="2"/>
      <c r="S334" s="3"/>
      <c r="T334" s="3"/>
      <c r="U334" s="4"/>
      <c r="W334" s="6"/>
    </row>
    <row r="335" spans="1:23" ht="15" thickBot="1" x14ac:dyDescent="0.35">
      <c r="A335" s="2">
        <v>51</v>
      </c>
      <c r="B335" s="3" t="s">
        <v>14</v>
      </c>
      <c r="C335" s="2">
        <v>23.2</v>
      </c>
      <c r="D335" s="2">
        <v>1</v>
      </c>
      <c r="E335" s="3" t="s">
        <v>17</v>
      </c>
      <c r="F335" s="3" t="s">
        <v>10</v>
      </c>
      <c r="G335" s="4">
        <v>22218.11</v>
      </c>
      <c r="H335">
        <f t="shared" si="11"/>
        <v>2</v>
      </c>
      <c r="I335" s="6">
        <f t="shared" si="12"/>
        <v>11109.055</v>
      </c>
      <c r="L335" s="19"/>
      <c r="O335" s="2"/>
      <c r="P335" s="3"/>
      <c r="Q335" s="2"/>
      <c r="R335" s="2"/>
      <c r="S335" s="3"/>
      <c r="T335" s="3"/>
      <c r="U335" s="4"/>
      <c r="W335" s="6"/>
    </row>
    <row r="336" spans="1:23" ht="15" thickBot="1" x14ac:dyDescent="0.35">
      <c r="A336" s="2">
        <v>51</v>
      </c>
      <c r="B336" s="3" t="s">
        <v>14</v>
      </c>
      <c r="C336" s="2">
        <v>22.4</v>
      </c>
      <c r="D336" s="2">
        <v>0</v>
      </c>
      <c r="E336" s="3" t="s">
        <v>16</v>
      </c>
      <c r="F336" s="3" t="s">
        <v>9</v>
      </c>
      <c r="G336" s="4">
        <v>9361.33</v>
      </c>
      <c r="H336">
        <f t="shared" si="11"/>
        <v>1</v>
      </c>
      <c r="I336" s="6">
        <f t="shared" si="12"/>
        <v>9361.33</v>
      </c>
      <c r="L336" s="19"/>
      <c r="O336" s="2"/>
      <c r="P336" s="3"/>
      <c r="Q336" s="2"/>
      <c r="R336" s="2"/>
      <c r="S336" s="3"/>
      <c r="T336" s="3"/>
      <c r="U336" s="4"/>
      <c r="W336" s="6"/>
    </row>
    <row r="337" spans="1:23" ht="15" thickBot="1" x14ac:dyDescent="0.35">
      <c r="A337" s="2">
        <v>51</v>
      </c>
      <c r="B337" s="3" t="s">
        <v>15</v>
      </c>
      <c r="C337" s="2">
        <v>33.9</v>
      </c>
      <c r="D337" s="2">
        <v>0</v>
      </c>
      <c r="E337" s="3" t="s">
        <v>16</v>
      </c>
      <c r="F337" s="3" t="s">
        <v>9</v>
      </c>
      <c r="G337" s="4">
        <v>9866.2999999999993</v>
      </c>
      <c r="H337">
        <f t="shared" si="11"/>
        <v>1</v>
      </c>
      <c r="I337" s="6">
        <f t="shared" si="12"/>
        <v>9866.2999999999993</v>
      </c>
      <c r="L337" s="19"/>
      <c r="O337" s="2"/>
      <c r="P337" s="3"/>
      <c r="Q337" s="2"/>
      <c r="R337" s="2"/>
      <c r="S337" s="3"/>
      <c r="T337" s="3"/>
      <c r="U337" s="4"/>
      <c r="W337" s="6"/>
    </row>
    <row r="338" spans="1:23" ht="15" thickBot="1" x14ac:dyDescent="0.35">
      <c r="A338" s="2">
        <v>51</v>
      </c>
      <c r="B338" s="3" t="s">
        <v>15</v>
      </c>
      <c r="C338" s="2">
        <v>25.8</v>
      </c>
      <c r="D338" s="2">
        <v>1</v>
      </c>
      <c r="E338" s="3" t="s">
        <v>16</v>
      </c>
      <c r="F338" s="3" t="s">
        <v>8</v>
      </c>
      <c r="G338" s="4">
        <v>9861.0300000000007</v>
      </c>
      <c r="H338">
        <f t="shared" si="11"/>
        <v>2</v>
      </c>
      <c r="I338" s="6">
        <f t="shared" si="12"/>
        <v>4930.5150000000003</v>
      </c>
      <c r="L338" s="19"/>
      <c r="O338" s="2"/>
      <c r="P338" s="3"/>
      <c r="Q338" s="2"/>
      <c r="R338" s="2"/>
      <c r="S338" s="3"/>
      <c r="T338" s="3"/>
      <c r="U338" s="4"/>
      <c r="W338" s="6"/>
    </row>
    <row r="339" spans="1:23" ht="15" thickBot="1" x14ac:dyDescent="0.35">
      <c r="A339" s="2">
        <v>51</v>
      </c>
      <c r="B339" s="3" t="s">
        <v>14</v>
      </c>
      <c r="C339" s="2">
        <v>31.6</v>
      </c>
      <c r="D339" s="2">
        <v>0</v>
      </c>
      <c r="E339" s="3" t="s">
        <v>16</v>
      </c>
      <c r="F339" s="3" t="s">
        <v>7</v>
      </c>
      <c r="G339" s="4">
        <v>9174.14</v>
      </c>
      <c r="H339">
        <f t="shared" si="11"/>
        <v>1</v>
      </c>
      <c r="I339" s="6">
        <f t="shared" si="12"/>
        <v>9174.14</v>
      </c>
      <c r="L339" s="19"/>
      <c r="O339" s="2"/>
      <c r="P339" s="3"/>
      <c r="Q339" s="2"/>
      <c r="R339" s="2"/>
      <c r="S339" s="3"/>
      <c r="T339" s="3"/>
      <c r="U339" s="4"/>
      <c r="W339" s="6"/>
    </row>
    <row r="340" spans="1:23" ht="15" thickBot="1" x14ac:dyDescent="0.35">
      <c r="A340" s="2">
        <v>51</v>
      </c>
      <c r="B340" s="3" t="s">
        <v>15</v>
      </c>
      <c r="C340" s="2">
        <v>34.1</v>
      </c>
      <c r="D340" s="2">
        <v>0</v>
      </c>
      <c r="E340" s="3" t="s">
        <v>16</v>
      </c>
      <c r="F340" s="3" t="s">
        <v>10</v>
      </c>
      <c r="G340" s="4">
        <v>9283.56</v>
      </c>
      <c r="H340">
        <f t="shared" si="11"/>
        <v>1</v>
      </c>
      <c r="I340" s="6">
        <f t="shared" si="12"/>
        <v>9283.56</v>
      </c>
      <c r="L340" s="19"/>
      <c r="O340" s="2"/>
      <c r="P340" s="3"/>
      <c r="Q340" s="2"/>
      <c r="R340" s="2"/>
      <c r="S340" s="3"/>
      <c r="T340" s="3"/>
      <c r="U340" s="4"/>
      <c r="W340" s="6"/>
    </row>
    <row r="341" spans="1:23" ht="15" thickBot="1" x14ac:dyDescent="0.35">
      <c r="A341" s="2">
        <v>51</v>
      </c>
      <c r="B341" s="3" t="s">
        <v>14</v>
      </c>
      <c r="C341" s="2">
        <v>39.700000000000003</v>
      </c>
      <c r="D341" s="2">
        <v>1</v>
      </c>
      <c r="E341" s="3" t="s">
        <v>16</v>
      </c>
      <c r="F341" s="3" t="s">
        <v>8</v>
      </c>
      <c r="G341" s="4">
        <v>9391.35</v>
      </c>
      <c r="H341">
        <f t="shared" si="11"/>
        <v>2</v>
      </c>
      <c r="I341" s="6">
        <f t="shared" si="12"/>
        <v>4695.6750000000002</v>
      </c>
      <c r="L341" s="19"/>
      <c r="O341" s="2"/>
      <c r="P341" s="3"/>
      <c r="Q341" s="2"/>
      <c r="R341" s="2"/>
      <c r="S341" s="3"/>
      <c r="T341" s="3"/>
      <c r="U341" s="4"/>
      <c r="W341" s="6"/>
    </row>
    <row r="342" spans="1:23" ht="15" thickBot="1" x14ac:dyDescent="0.35">
      <c r="A342" s="2">
        <v>51</v>
      </c>
      <c r="B342" s="3" t="s">
        <v>15</v>
      </c>
      <c r="C342" s="2">
        <v>38.1</v>
      </c>
      <c r="D342" s="2">
        <v>0</v>
      </c>
      <c r="E342" s="3" t="s">
        <v>17</v>
      </c>
      <c r="F342" s="3" t="s">
        <v>10</v>
      </c>
      <c r="G342" s="4">
        <v>44400.41</v>
      </c>
      <c r="H342">
        <f t="shared" si="11"/>
        <v>1</v>
      </c>
      <c r="I342" s="6">
        <f t="shared" si="12"/>
        <v>44400.41</v>
      </c>
      <c r="L342" s="19"/>
      <c r="O342" s="2"/>
      <c r="P342" s="3"/>
      <c r="Q342" s="2"/>
      <c r="R342" s="2"/>
      <c r="S342" s="3"/>
      <c r="T342" s="3"/>
      <c r="U342" s="4"/>
      <c r="W342" s="6"/>
    </row>
    <row r="343" spans="1:23" ht="15" thickBot="1" x14ac:dyDescent="0.35">
      <c r="A343" s="2">
        <v>51</v>
      </c>
      <c r="B343" s="3" t="s">
        <v>15</v>
      </c>
      <c r="C343" s="2">
        <v>36.700000000000003</v>
      </c>
      <c r="D343" s="2">
        <v>2</v>
      </c>
      <c r="E343" s="3" t="s">
        <v>16</v>
      </c>
      <c r="F343" s="3" t="s">
        <v>7</v>
      </c>
      <c r="G343" s="4">
        <v>10848.13</v>
      </c>
      <c r="H343">
        <f t="shared" si="11"/>
        <v>3</v>
      </c>
      <c r="I343" s="6">
        <f t="shared" si="12"/>
        <v>3616.0433333333331</v>
      </c>
      <c r="L343" s="19"/>
      <c r="O343" s="2"/>
      <c r="P343" s="3"/>
      <c r="Q343" s="2"/>
      <c r="R343" s="2"/>
      <c r="S343" s="3"/>
      <c r="T343" s="3"/>
      <c r="U343" s="4"/>
      <c r="W343" s="6"/>
    </row>
    <row r="344" spans="1:23" ht="15" thickBot="1" x14ac:dyDescent="0.35">
      <c r="A344" s="2">
        <v>51</v>
      </c>
      <c r="B344" s="3" t="s">
        <v>15</v>
      </c>
      <c r="C344" s="2">
        <v>40.700000000000003</v>
      </c>
      <c r="D344" s="2">
        <v>0</v>
      </c>
      <c r="E344" s="3" t="s">
        <v>16</v>
      </c>
      <c r="F344" s="3" t="s">
        <v>9</v>
      </c>
      <c r="G344" s="4">
        <v>9875.68</v>
      </c>
      <c r="H344">
        <f t="shared" si="11"/>
        <v>1</v>
      </c>
      <c r="I344" s="6">
        <f t="shared" si="12"/>
        <v>9875.68</v>
      </c>
      <c r="L344" s="19"/>
      <c r="O344" s="2"/>
      <c r="P344" s="3"/>
      <c r="Q344" s="2"/>
      <c r="R344" s="2"/>
      <c r="S344" s="3"/>
      <c r="T344" s="3"/>
      <c r="U344" s="4"/>
      <c r="W344" s="6"/>
    </row>
    <row r="345" spans="1:23" ht="15" thickBot="1" x14ac:dyDescent="0.35">
      <c r="A345" s="2">
        <v>51</v>
      </c>
      <c r="B345" s="3" t="s">
        <v>14</v>
      </c>
      <c r="C345" s="2">
        <v>33.299999999999997</v>
      </c>
      <c r="D345" s="2">
        <v>3</v>
      </c>
      <c r="E345" s="3" t="s">
        <v>16</v>
      </c>
      <c r="F345" s="3" t="s">
        <v>10</v>
      </c>
      <c r="G345" s="4">
        <v>10560.49</v>
      </c>
      <c r="H345">
        <f t="shared" si="11"/>
        <v>4</v>
      </c>
      <c r="I345" s="6">
        <f t="shared" si="12"/>
        <v>2640.1224999999999</v>
      </c>
      <c r="L345" s="19"/>
      <c r="O345" s="2"/>
      <c r="P345" s="3"/>
      <c r="Q345" s="2"/>
      <c r="R345" s="2"/>
      <c r="S345" s="3"/>
      <c r="T345" s="3"/>
      <c r="U345" s="4"/>
      <c r="W345" s="6"/>
    </row>
    <row r="346" spans="1:23" ht="15" thickBot="1" x14ac:dyDescent="0.35">
      <c r="A346" s="2">
        <v>51</v>
      </c>
      <c r="B346" s="3" t="s">
        <v>14</v>
      </c>
      <c r="C346" s="2">
        <v>36</v>
      </c>
      <c r="D346" s="2">
        <v>1</v>
      </c>
      <c r="E346" s="3" t="s">
        <v>16</v>
      </c>
      <c r="F346" s="3" t="s">
        <v>10</v>
      </c>
      <c r="G346" s="4">
        <v>9386.16</v>
      </c>
      <c r="H346">
        <f t="shared" si="11"/>
        <v>2</v>
      </c>
      <c r="I346" s="6">
        <f t="shared" si="12"/>
        <v>4693.08</v>
      </c>
      <c r="L346" s="19"/>
      <c r="O346" s="2"/>
      <c r="P346" s="3"/>
      <c r="Q346" s="2"/>
      <c r="R346" s="2"/>
      <c r="S346" s="3"/>
      <c r="T346" s="3"/>
      <c r="U346" s="4"/>
      <c r="W346" s="6"/>
    </row>
    <row r="347" spans="1:23" ht="15" thickBot="1" x14ac:dyDescent="0.35">
      <c r="A347" s="2">
        <v>51</v>
      </c>
      <c r="B347" s="3" t="s">
        <v>15</v>
      </c>
      <c r="C347" s="2">
        <v>34.200000000000003</v>
      </c>
      <c r="D347" s="2">
        <v>1</v>
      </c>
      <c r="E347" s="3" t="s">
        <v>16</v>
      </c>
      <c r="F347" s="3" t="s">
        <v>8</v>
      </c>
      <c r="G347" s="4">
        <v>9872.7000000000007</v>
      </c>
      <c r="H347">
        <f t="shared" si="11"/>
        <v>2</v>
      </c>
      <c r="I347" s="6">
        <f t="shared" si="12"/>
        <v>4936.3500000000004</v>
      </c>
      <c r="L347" s="19"/>
      <c r="O347" s="2"/>
      <c r="P347" s="3"/>
      <c r="Q347" s="2"/>
      <c r="R347" s="2"/>
      <c r="S347" s="3"/>
      <c r="T347" s="3"/>
      <c r="U347" s="4"/>
      <c r="W347" s="6"/>
    </row>
    <row r="348" spans="1:23" ht="15" thickBot="1" x14ac:dyDescent="0.35">
      <c r="A348" s="2">
        <v>51</v>
      </c>
      <c r="B348" s="3" t="s">
        <v>14</v>
      </c>
      <c r="C348" s="2">
        <v>25.4</v>
      </c>
      <c r="D348" s="2">
        <v>0</v>
      </c>
      <c r="E348" s="3" t="s">
        <v>16</v>
      </c>
      <c r="F348" s="3" t="s">
        <v>8</v>
      </c>
      <c r="G348" s="4">
        <v>8782.4699999999993</v>
      </c>
      <c r="H348">
        <f t="shared" si="11"/>
        <v>1</v>
      </c>
      <c r="I348" s="6">
        <f t="shared" si="12"/>
        <v>8782.4699999999993</v>
      </c>
      <c r="L348" s="19"/>
      <c r="O348" s="2"/>
      <c r="P348" s="3"/>
      <c r="Q348" s="2"/>
      <c r="R348" s="2"/>
      <c r="S348" s="3"/>
      <c r="T348" s="3"/>
      <c r="U348" s="4"/>
      <c r="W348" s="6"/>
    </row>
    <row r="349" spans="1:23" ht="15" thickBot="1" x14ac:dyDescent="0.35">
      <c r="A349" s="2">
        <v>51</v>
      </c>
      <c r="B349" s="3" t="s">
        <v>15</v>
      </c>
      <c r="C349" s="2">
        <v>37.1</v>
      </c>
      <c r="D349" s="2">
        <v>3</v>
      </c>
      <c r="E349" s="3" t="s">
        <v>17</v>
      </c>
      <c r="F349" s="3" t="s">
        <v>9</v>
      </c>
      <c r="G349" s="4">
        <v>46255.11</v>
      </c>
      <c r="H349">
        <f t="shared" si="11"/>
        <v>4</v>
      </c>
      <c r="I349" s="6">
        <f t="shared" si="12"/>
        <v>11563.7775</v>
      </c>
      <c r="L349" s="19"/>
      <c r="O349" s="2"/>
      <c r="P349" s="3"/>
      <c r="Q349" s="2"/>
      <c r="R349" s="2"/>
      <c r="S349" s="3"/>
      <c r="T349" s="3"/>
      <c r="U349" s="4"/>
      <c r="W349" s="6"/>
    </row>
    <row r="350" spans="1:23" ht="15" thickBot="1" x14ac:dyDescent="0.35">
      <c r="A350" s="2">
        <v>51</v>
      </c>
      <c r="B350" s="3" t="s">
        <v>14</v>
      </c>
      <c r="C350" s="2">
        <v>42.9</v>
      </c>
      <c r="D350" s="2">
        <v>2</v>
      </c>
      <c r="E350" s="3" t="s">
        <v>17</v>
      </c>
      <c r="F350" s="3" t="s">
        <v>10</v>
      </c>
      <c r="G350" s="4">
        <v>47462.89</v>
      </c>
      <c r="H350">
        <f t="shared" si="11"/>
        <v>3</v>
      </c>
      <c r="I350" s="6">
        <f t="shared" si="12"/>
        <v>15820.963333333333</v>
      </c>
      <c r="L350" s="19"/>
      <c r="O350" s="2"/>
      <c r="P350" s="3"/>
      <c r="Q350" s="2"/>
      <c r="R350" s="2"/>
      <c r="S350" s="3"/>
      <c r="T350" s="3"/>
      <c r="U350" s="4"/>
      <c r="W350" s="6"/>
    </row>
    <row r="351" spans="1:23" ht="15" thickBot="1" x14ac:dyDescent="0.35">
      <c r="A351" s="2">
        <v>51</v>
      </c>
      <c r="B351" s="3" t="s">
        <v>14</v>
      </c>
      <c r="C351" s="2">
        <v>24.8</v>
      </c>
      <c r="D351" s="2">
        <v>2</v>
      </c>
      <c r="E351" s="3" t="s">
        <v>17</v>
      </c>
      <c r="F351" s="3" t="s">
        <v>7</v>
      </c>
      <c r="G351" s="4">
        <v>23967.38</v>
      </c>
      <c r="H351">
        <f t="shared" si="11"/>
        <v>3</v>
      </c>
      <c r="I351" s="6">
        <f t="shared" si="12"/>
        <v>7989.126666666667</v>
      </c>
      <c r="L351" s="19"/>
      <c r="O351" s="2"/>
      <c r="P351" s="3"/>
      <c r="Q351" s="2"/>
      <c r="R351" s="2"/>
      <c r="S351" s="3"/>
      <c r="T351" s="3"/>
      <c r="U351" s="4"/>
      <c r="W351" s="6"/>
    </row>
    <row r="352" spans="1:23" ht="15" thickBot="1" x14ac:dyDescent="0.35">
      <c r="A352" s="2">
        <v>51</v>
      </c>
      <c r="B352" s="3" t="s">
        <v>14</v>
      </c>
      <c r="C352" s="2">
        <v>27.7</v>
      </c>
      <c r="D352" s="2">
        <v>1</v>
      </c>
      <c r="E352" s="3" t="s">
        <v>16</v>
      </c>
      <c r="F352" s="3" t="s">
        <v>9</v>
      </c>
      <c r="G352" s="4">
        <v>9957.7199999999993</v>
      </c>
      <c r="H352">
        <f t="shared" si="11"/>
        <v>2</v>
      </c>
      <c r="I352" s="6">
        <f t="shared" si="12"/>
        <v>4978.8599999999997</v>
      </c>
      <c r="L352" s="19"/>
      <c r="O352" s="2"/>
      <c r="P352" s="3"/>
      <c r="Q352" s="2"/>
      <c r="R352" s="2"/>
      <c r="S352" s="3"/>
      <c r="T352" s="3"/>
      <c r="U352" s="4"/>
      <c r="W352" s="6"/>
    </row>
    <row r="353" spans="1:23" ht="15" thickBot="1" x14ac:dyDescent="0.35">
      <c r="A353" s="2">
        <v>51</v>
      </c>
      <c r="B353" s="3" t="s">
        <v>14</v>
      </c>
      <c r="C353" s="2">
        <v>37</v>
      </c>
      <c r="D353" s="2">
        <v>0</v>
      </c>
      <c r="E353" s="3" t="s">
        <v>16</v>
      </c>
      <c r="F353" s="3" t="s">
        <v>8</v>
      </c>
      <c r="G353" s="4">
        <v>8798.59</v>
      </c>
      <c r="H353">
        <f t="shared" si="11"/>
        <v>1</v>
      </c>
      <c r="I353" s="6">
        <f t="shared" si="12"/>
        <v>8798.59</v>
      </c>
      <c r="L353" s="19"/>
      <c r="O353" s="2"/>
      <c r="P353" s="3"/>
      <c r="Q353" s="2"/>
      <c r="R353" s="2"/>
      <c r="S353" s="3"/>
      <c r="T353" s="3"/>
      <c r="U353" s="4"/>
      <c r="W353" s="6"/>
    </row>
    <row r="354" spans="1:23" ht="15" thickBot="1" x14ac:dyDescent="0.35">
      <c r="A354" s="2">
        <v>51</v>
      </c>
      <c r="B354" s="3" t="s">
        <v>15</v>
      </c>
      <c r="C354" s="2">
        <v>35</v>
      </c>
      <c r="D354" s="2">
        <v>2</v>
      </c>
      <c r="E354" s="3" t="s">
        <v>17</v>
      </c>
      <c r="F354" s="3" t="s">
        <v>9</v>
      </c>
      <c r="G354" s="4">
        <v>44641.2</v>
      </c>
      <c r="H354">
        <f t="shared" si="11"/>
        <v>3</v>
      </c>
      <c r="I354" s="6">
        <f t="shared" si="12"/>
        <v>14880.4</v>
      </c>
      <c r="L354" s="19"/>
      <c r="O354" s="2"/>
      <c r="P354" s="3"/>
      <c r="Q354" s="2"/>
      <c r="R354" s="2"/>
      <c r="S354" s="3"/>
      <c r="T354" s="3"/>
      <c r="U354" s="4"/>
      <c r="W354" s="6"/>
    </row>
    <row r="355" spans="1:23" ht="15" thickBot="1" x14ac:dyDescent="0.35">
      <c r="A355" s="2">
        <v>51</v>
      </c>
      <c r="B355" s="3" t="s">
        <v>14</v>
      </c>
      <c r="C355" s="2">
        <v>32.299999999999997</v>
      </c>
      <c r="D355" s="2">
        <v>1</v>
      </c>
      <c r="E355" s="3" t="s">
        <v>16</v>
      </c>
      <c r="F355" s="3" t="s">
        <v>9</v>
      </c>
      <c r="G355" s="4">
        <v>9964.06</v>
      </c>
      <c r="H355">
        <f t="shared" si="11"/>
        <v>2</v>
      </c>
      <c r="I355" s="6">
        <f t="shared" si="12"/>
        <v>4982.03</v>
      </c>
      <c r="L355" s="19"/>
      <c r="O355" s="2"/>
      <c r="P355" s="3"/>
      <c r="Q355" s="2"/>
      <c r="R355" s="2"/>
      <c r="S355" s="3"/>
      <c r="T355" s="3"/>
      <c r="U355" s="4"/>
      <c r="W355" s="6"/>
    </row>
    <row r="356" spans="1:23" ht="15" thickBot="1" x14ac:dyDescent="0.35">
      <c r="A356" s="2">
        <v>51</v>
      </c>
      <c r="B356" s="3" t="s">
        <v>15</v>
      </c>
      <c r="C356" s="2">
        <v>36.4</v>
      </c>
      <c r="D356" s="2">
        <v>3</v>
      </c>
      <c r="E356" s="3" t="s">
        <v>16</v>
      </c>
      <c r="F356" s="3" t="s">
        <v>7</v>
      </c>
      <c r="G356" s="4">
        <v>11436.74</v>
      </c>
      <c r="H356">
        <f t="shared" si="11"/>
        <v>4</v>
      </c>
      <c r="I356" s="6">
        <f t="shared" si="12"/>
        <v>2859.1849999999999</v>
      </c>
      <c r="L356" s="19"/>
      <c r="O356" s="2"/>
      <c r="P356" s="3"/>
      <c r="Q356" s="2"/>
      <c r="R356" s="2"/>
      <c r="S356" s="3"/>
      <c r="T356" s="3"/>
      <c r="U356" s="4"/>
      <c r="W356" s="6"/>
    </row>
    <row r="357" spans="1:23" ht="15" thickBot="1" x14ac:dyDescent="0.35">
      <c r="A357" s="2">
        <v>51</v>
      </c>
      <c r="B357" s="3" t="s">
        <v>14</v>
      </c>
      <c r="C357" s="2">
        <v>30</v>
      </c>
      <c r="D357" s="2">
        <v>1</v>
      </c>
      <c r="E357" s="3" t="s">
        <v>16</v>
      </c>
      <c r="F357" s="3" t="s">
        <v>10</v>
      </c>
      <c r="G357" s="4">
        <v>9377.9</v>
      </c>
      <c r="H357">
        <f t="shared" si="11"/>
        <v>2</v>
      </c>
      <c r="I357" s="6">
        <f t="shared" si="12"/>
        <v>4688.95</v>
      </c>
      <c r="L357" s="19"/>
      <c r="O357" s="2"/>
      <c r="P357" s="3"/>
      <c r="Q357" s="2"/>
      <c r="R357" s="2"/>
      <c r="S357" s="3"/>
      <c r="T357" s="3"/>
      <c r="U357" s="4"/>
      <c r="W357" s="6"/>
    </row>
    <row r="358" spans="1:23" ht="15" thickBot="1" x14ac:dyDescent="0.35">
      <c r="A358" s="2">
        <v>50</v>
      </c>
      <c r="B358" s="3" t="s">
        <v>15</v>
      </c>
      <c r="C358" s="2">
        <v>27.8</v>
      </c>
      <c r="D358" s="2">
        <v>3</v>
      </c>
      <c r="E358" s="3" t="s">
        <v>16</v>
      </c>
      <c r="F358" s="3" t="s">
        <v>10</v>
      </c>
      <c r="G358" s="4">
        <v>19749.38</v>
      </c>
      <c r="H358">
        <f t="shared" si="11"/>
        <v>4</v>
      </c>
      <c r="I358" s="6">
        <f t="shared" si="12"/>
        <v>4937.3450000000003</v>
      </c>
      <c r="L358" s="19"/>
      <c r="O358" s="2"/>
      <c r="P358" s="3"/>
      <c r="Q358" s="2"/>
      <c r="R358" s="2"/>
      <c r="S358" s="3"/>
      <c r="T358" s="3"/>
      <c r="U358" s="4"/>
      <c r="W358" s="6"/>
    </row>
    <row r="359" spans="1:23" ht="15" thickBot="1" x14ac:dyDescent="0.35">
      <c r="A359" s="2">
        <v>50</v>
      </c>
      <c r="B359" s="3" t="s">
        <v>14</v>
      </c>
      <c r="C359" s="2">
        <v>31.8</v>
      </c>
      <c r="D359" s="2">
        <v>0</v>
      </c>
      <c r="E359" s="3" t="s">
        <v>17</v>
      </c>
      <c r="F359" s="3" t="s">
        <v>9</v>
      </c>
      <c r="G359" s="4">
        <v>41097.160000000003</v>
      </c>
      <c r="H359">
        <f t="shared" si="11"/>
        <v>1</v>
      </c>
      <c r="I359" s="6">
        <f t="shared" si="12"/>
        <v>41097.160000000003</v>
      </c>
      <c r="L359" s="19"/>
      <c r="O359" s="2"/>
      <c r="P359" s="3"/>
      <c r="Q359" s="2"/>
      <c r="R359" s="2"/>
      <c r="S359" s="3"/>
      <c r="T359" s="3"/>
      <c r="U359" s="4"/>
      <c r="W359" s="6"/>
    </row>
    <row r="360" spans="1:23" ht="15" thickBot="1" x14ac:dyDescent="0.35">
      <c r="A360" s="2">
        <v>50</v>
      </c>
      <c r="B360" s="3" t="s">
        <v>14</v>
      </c>
      <c r="C360" s="2">
        <v>34.200000000000003</v>
      </c>
      <c r="D360" s="2">
        <v>2</v>
      </c>
      <c r="E360" s="3" t="s">
        <v>17</v>
      </c>
      <c r="F360" s="3" t="s">
        <v>8</v>
      </c>
      <c r="G360" s="4">
        <v>42856.84</v>
      </c>
      <c r="H360">
        <f t="shared" si="11"/>
        <v>3</v>
      </c>
      <c r="I360" s="6">
        <f t="shared" si="12"/>
        <v>14285.613333333333</v>
      </c>
      <c r="L360" s="19"/>
      <c r="O360" s="2"/>
      <c r="P360" s="3"/>
      <c r="Q360" s="2"/>
      <c r="R360" s="2"/>
      <c r="S360" s="3"/>
      <c r="T360" s="3"/>
      <c r="U360" s="4"/>
      <c r="W360" s="6"/>
    </row>
    <row r="361" spans="1:23" ht="15" thickBot="1" x14ac:dyDescent="0.35">
      <c r="A361" s="2">
        <v>50</v>
      </c>
      <c r="B361" s="3" t="s">
        <v>14</v>
      </c>
      <c r="C361" s="2">
        <v>27.5</v>
      </c>
      <c r="D361" s="2">
        <v>1</v>
      </c>
      <c r="E361" s="3" t="s">
        <v>16</v>
      </c>
      <c r="F361" s="3" t="s">
        <v>9</v>
      </c>
      <c r="G361" s="4">
        <v>9617.66</v>
      </c>
      <c r="H361">
        <f t="shared" si="11"/>
        <v>2</v>
      </c>
      <c r="I361" s="6">
        <f t="shared" si="12"/>
        <v>4808.83</v>
      </c>
      <c r="L361" s="19"/>
      <c r="O361" s="2"/>
      <c r="P361" s="3"/>
      <c r="Q361" s="2"/>
      <c r="R361" s="2"/>
      <c r="S361" s="3"/>
      <c r="T361" s="3"/>
      <c r="U361" s="4"/>
      <c r="W361" s="6"/>
    </row>
    <row r="362" spans="1:23" ht="15" thickBot="1" x14ac:dyDescent="0.35">
      <c r="A362" s="2">
        <v>50</v>
      </c>
      <c r="B362" s="3" t="s">
        <v>14</v>
      </c>
      <c r="C362" s="2">
        <v>26.6</v>
      </c>
      <c r="D362" s="2">
        <v>0</v>
      </c>
      <c r="E362" s="3" t="s">
        <v>16</v>
      </c>
      <c r="F362" s="3" t="s">
        <v>8</v>
      </c>
      <c r="G362" s="4">
        <v>8444.4699999999993</v>
      </c>
      <c r="H362">
        <f t="shared" si="11"/>
        <v>1</v>
      </c>
      <c r="I362" s="6">
        <f t="shared" si="12"/>
        <v>8444.4699999999993</v>
      </c>
      <c r="L362" s="19"/>
      <c r="O362" s="2"/>
      <c r="P362" s="3"/>
      <c r="Q362" s="2"/>
      <c r="R362" s="2"/>
      <c r="S362" s="3"/>
      <c r="T362" s="3"/>
      <c r="U362" s="4"/>
      <c r="W362" s="6"/>
    </row>
    <row r="363" spans="1:23" ht="15" thickBot="1" x14ac:dyDescent="0.35">
      <c r="A363" s="2">
        <v>50</v>
      </c>
      <c r="B363" s="3" t="s">
        <v>14</v>
      </c>
      <c r="C363" s="2">
        <v>32.200000000000003</v>
      </c>
      <c r="D363" s="2">
        <v>0</v>
      </c>
      <c r="E363" s="3" t="s">
        <v>16</v>
      </c>
      <c r="F363" s="3" t="s">
        <v>7</v>
      </c>
      <c r="G363" s="4">
        <v>8835.26</v>
      </c>
      <c r="H363">
        <f t="shared" si="11"/>
        <v>1</v>
      </c>
      <c r="I363" s="6">
        <f t="shared" si="12"/>
        <v>8835.26</v>
      </c>
      <c r="L363" s="19"/>
      <c r="O363" s="2"/>
      <c r="P363" s="3"/>
      <c r="Q363" s="2"/>
      <c r="R363" s="2"/>
      <c r="S363" s="3"/>
      <c r="T363" s="3"/>
      <c r="U363" s="4"/>
      <c r="W363" s="6"/>
    </row>
    <row r="364" spans="1:23" ht="15" thickBot="1" x14ac:dyDescent="0.35">
      <c r="A364" s="2">
        <v>50</v>
      </c>
      <c r="B364" s="3" t="s">
        <v>14</v>
      </c>
      <c r="C364" s="2">
        <v>32.299999999999997</v>
      </c>
      <c r="D364" s="2">
        <v>1</v>
      </c>
      <c r="E364" s="3" t="s">
        <v>17</v>
      </c>
      <c r="F364" s="3" t="s">
        <v>9</v>
      </c>
      <c r="G364" s="4">
        <v>41919.1</v>
      </c>
      <c r="H364">
        <f t="shared" si="11"/>
        <v>2</v>
      </c>
      <c r="I364" s="6">
        <f t="shared" si="12"/>
        <v>20959.55</v>
      </c>
      <c r="L364" s="19"/>
      <c r="O364" s="2"/>
      <c r="P364" s="3"/>
      <c r="Q364" s="2"/>
      <c r="R364" s="2"/>
      <c r="S364" s="3"/>
      <c r="T364" s="3"/>
      <c r="U364" s="4"/>
      <c r="W364" s="6"/>
    </row>
    <row r="365" spans="1:23" ht="15" thickBot="1" x14ac:dyDescent="0.35">
      <c r="A365" s="2">
        <v>50</v>
      </c>
      <c r="B365" s="3" t="s">
        <v>15</v>
      </c>
      <c r="C365" s="2">
        <v>25.6</v>
      </c>
      <c r="D365" s="2">
        <v>0</v>
      </c>
      <c r="E365" s="3" t="s">
        <v>16</v>
      </c>
      <c r="F365" s="3" t="s">
        <v>8</v>
      </c>
      <c r="G365" s="4">
        <v>8932.08</v>
      </c>
      <c r="H365">
        <f t="shared" si="11"/>
        <v>1</v>
      </c>
      <c r="I365" s="6">
        <f t="shared" si="12"/>
        <v>8932.08</v>
      </c>
      <c r="L365" s="19"/>
      <c r="O365" s="2"/>
      <c r="P365" s="3"/>
      <c r="Q365" s="2"/>
      <c r="R365" s="2"/>
      <c r="S365" s="3"/>
      <c r="T365" s="3"/>
      <c r="U365" s="4"/>
      <c r="W365" s="6"/>
    </row>
    <row r="366" spans="1:23" ht="15" thickBot="1" x14ac:dyDescent="0.35">
      <c r="A366" s="2">
        <v>50</v>
      </c>
      <c r="B366" s="3" t="s">
        <v>14</v>
      </c>
      <c r="C366" s="2">
        <v>25.4</v>
      </c>
      <c r="D366" s="2">
        <v>2</v>
      </c>
      <c r="E366" s="3" t="s">
        <v>16</v>
      </c>
      <c r="F366" s="3" t="s">
        <v>7</v>
      </c>
      <c r="G366" s="4">
        <v>30284.639999999999</v>
      </c>
      <c r="H366">
        <f t="shared" si="11"/>
        <v>3</v>
      </c>
      <c r="I366" s="6">
        <f t="shared" si="12"/>
        <v>10094.879999999999</v>
      </c>
      <c r="L366" s="19"/>
      <c r="O366" s="2"/>
      <c r="P366" s="3"/>
      <c r="Q366" s="2"/>
      <c r="R366" s="2"/>
      <c r="S366" s="3"/>
      <c r="T366" s="3"/>
      <c r="U366" s="4"/>
      <c r="W366" s="6"/>
    </row>
    <row r="367" spans="1:23" ht="15" thickBot="1" x14ac:dyDescent="0.35">
      <c r="A367" s="2">
        <v>50</v>
      </c>
      <c r="B367" s="3" t="s">
        <v>15</v>
      </c>
      <c r="C367" s="2">
        <v>27.4</v>
      </c>
      <c r="D367" s="2">
        <v>0</v>
      </c>
      <c r="E367" s="3" t="s">
        <v>16</v>
      </c>
      <c r="F367" s="3" t="s">
        <v>9</v>
      </c>
      <c r="G367" s="4">
        <v>25656.58</v>
      </c>
      <c r="H367">
        <f t="shared" si="11"/>
        <v>1</v>
      </c>
      <c r="I367" s="6">
        <f t="shared" si="12"/>
        <v>25656.58</v>
      </c>
      <c r="L367" s="19"/>
      <c r="O367" s="2"/>
      <c r="P367" s="3"/>
      <c r="Q367" s="2"/>
      <c r="R367" s="2"/>
      <c r="S367" s="3"/>
      <c r="T367" s="3"/>
      <c r="U367" s="4"/>
      <c r="W367" s="6"/>
    </row>
    <row r="368" spans="1:23" ht="15" thickBot="1" x14ac:dyDescent="0.35">
      <c r="A368" s="2">
        <v>50</v>
      </c>
      <c r="B368" s="3" t="s">
        <v>14</v>
      </c>
      <c r="C368" s="2">
        <v>44.8</v>
      </c>
      <c r="D368" s="2">
        <v>1</v>
      </c>
      <c r="E368" s="3" t="s">
        <v>16</v>
      </c>
      <c r="F368" s="3" t="s">
        <v>10</v>
      </c>
      <c r="G368" s="4">
        <v>9058.73</v>
      </c>
      <c r="H368">
        <f t="shared" si="11"/>
        <v>2</v>
      </c>
      <c r="I368" s="6">
        <f t="shared" si="12"/>
        <v>4529.3649999999998</v>
      </c>
      <c r="L368" s="19"/>
      <c r="O368" s="2"/>
      <c r="P368" s="3"/>
      <c r="Q368" s="2"/>
      <c r="R368" s="2"/>
      <c r="S368" s="3"/>
      <c r="T368" s="3"/>
      <c r="U368" s="4"/>
      <c r="W368" s="6"/>
    </row>
    <row r="369" spans="1:23" ht="15" thickBot="1" x14ac:dyDescent="0.35">
      <c r="A369" s="2">
        <v>50</v>
      </c>
      <c r="B369" s="3" t="s">
        <v>15</v>
      </c>
      <c r="C369" s="2">
        <v>44.7</v>
      </c>
      <c r="D369" s="2">
        <v>0</v>
      </c>
      <c r="E369" s="3" t="s">
        <v>16</v>
      </c>
      <c r="F369" s="3" t="s">
        <v>9</v>
      </c>
      <c r="G369" s="4">
        <v>9541.7000000000007</v>
      </c>
      <c r="H369">
        <f t="shared" si="11"/>
        <v>1</v>
      </c>
      <c r="I369" s="6">
        <f t="shared" si="12"/>
        <v>9541.7000000000007</v>
      </c>
      <c r="L369" s="19"/>
      <c r="O369" s="2"/>
      <c r="P369" s="3"/>
      <c r="Q369" s="2"/>
      <c r="R369" s="2"/>
      <c r="S369" s="3"/>
      <c r="T369" s="3"/>
      <c r="U369" s="4"/>
      <c r="W369" s="6"/>
    </row>
    <row r="370" spans="1:23" ht="15" thickBot="1" x14ac:dyDescent="0.35">
      <c r="A370" s="2">
        <v>50</v>
      </c>
      <c r="B370" s="3" t="s">
        <v>15</v>
      </c>
      <c r="C370" s="2">
        <v>23.5</v>
      </c>
      <c r="D370" s="2">
        <v>2</v>
      </c>
      <c r="E370" s="3" t="s">
        <v>16</v>
      </c>
      <c r="F370" s="3" t="s">
        <v>10</v>
      </c>
      <c r="G370" s="4">
        <v>10107.219999999999</v>
      </c>
      <c r="H370">
        <f t="shared" si="11"/>
        <v>3</v>
      </c>
      <c r="I370" s="6">
        <f t="shared" si="12"/>
        <v>3369.0733333333333</v>
      </c>
      <c r="L370" s="19"/>
      <c r="O370" s="2"/>
      <c r="P370" s="3"/>
      <c r="Q370" s="2"/>
      <c r="R370" s="2"/>
      <c r="S370" s="3"/>
      <c r="T370" s="3"/>
      <c r="U370" s="4"/>
      <c r="W370" s="6"/>
    </row>
    <row r="371" spans="1:23" ht="15" thickBot="1" x14ac:dyDescent="0.35">
      <c r="A371" s="2">
        <v>50</v>
      </c>
      <c r="B371" s="3" t="s">
        <v>15</v>
      </c>
      <c r="C371" s="2">
        <v>27.1</v>
      </c>
      <c r="D371" s="2">
        <v>1</v>
      </c>
      <c r="E371" s="3" t="s">
        <v>16</v>
      </c>
      <c r="F371" s="3" t="s">
        <v>9</v>
      </c>
      <c r="G371" s="4">
        <v>10106.129999999999</v>
      </c>
      <c r="H371">
        <f t="shared" si="11"/>
        <v>2</v>
      </c>
      <c r="I371" s="6">
        <f t="shared" si="12"/>
        <v>5053.0649999999996</v>
      </c>
      <c r="L371" s="19"/>
      <c r="O371" s="2"/>
      <c r="P371" s="3"/>
      <c r="Q371" s="2"/>
      <c r="R371" s="2"/>
      <c r="S371" s="3"/>
      <c r="T371" s="3"/>
      <c r="U371" s="4"/>
      <c r="W371" s="6"/>
    </row>
    <row r="372" spans="1:23" ht="15" thickBot="1" x14ac:dyDescent="0.35">
      <c r="A372" s="2">
        <v>50</v>
      </c>
      <c r="B372" s="3" t="s">
        <v>14</v>
      </c>
      <c r="C372" s="2">
        <v>26.4</v>
      </c>
      <c r="D372" s="2">
        <v>0</v>
      </c>
      <c r="E372" s="3" t="s">
        <v>16</v>
      </c>
      <c r="F372" s="3" t="s">
        <v>7</v>
      </c>
      <c r="G372" s="4">
        <v>8827.2099999999991</v>
      </c>
      <c r="H372">
        <f t="shared" si="11"/>
        <v>1</v>
      </c>
      <c r="I372" s="6">
        <f t="shared" si="12"/>
        <v>8827.2099999999991</v>
      </c>
      <c r="L372" s="19"/>
      <c r="O372" s="2"/>
      <c r="P372" s="3"/>
      <c r="Q372" s="2"/>
      <c r="R372" s="2"/>
      <c r="S372" s="3"/>
      <c r="T372" s="3"/>
      <c r="U372" s="4"/>
      <c r="W372" s="6"/>
    </row>
    <row r="373" spans="1:23" ht="15" thickBot="1" x14ac:dyDescent="0.35">
      <c r="A373" s="2">
        <v>50</v>
      </c>
      <c r="B373" s="3" t="s">
        <v>15</v>
      </c>
      <c r="C373" s="2">
        <v>30.1</v>
      </c>
      <c r="D373" s="2">
        <v>1</v>
      </c>
      <c r="E373" s="3" t="s">
        <v>16</v>
      </c>
      <c r="F373" s="3" t="s">
        <v>7</v>
      </c>
      <c r="G373" s="4">
        <v>9910.36</v>
      </c>
      <c r="H373">
        <f t="shared" si="11"/>
        <v>2</v>
      </c>
      <c r="I373" s="6">
        <f t="shared" si="12"/>
        <v>4955.18</v>
      </c>
      <c r="L373" s="19"/>
      <c r="O373" s="2"/>
      <c r="P373" s="3"/>
      <c r="Q373" s="2"/>
      <c r="R373" s="2"/>
      <c r="S373" s="3"/>
      <c r="T373" s="3"/>
      <c r="U373" s="4"/>
      <c r="W373" s="6"/>
    </row>
    <row r="374" spans="1:23" ht="15" thickBot="1" x14ac:dyDescent="0.35">
      <c r="A374" s="2">
        <v>50</v>
      </c>
      <c r="B374" s="3" t="s">
        <v>15</v>
      </c>
      <c r="C374" s="2">
        <v>27.6</v>
      </c>
      <c r="D374" s="2">
        <v>1</v>
      </c>
      <c r="E374" s="3" t="s">
        <v>17</v>
      </c>
      <c r="F374" s="3" t="s">
        <v>8</v>
      </c>
      <c r="G374" s="4">
        <v>24520.26</v>
      </c>
      <c r="H374">
        <f t="shared" si="11"/>
        <v>2</v>
      </c>
      <c r="I374" s="6">
        <f t="shared" si="12"/>
        <v>12260.13</v>
      </c>
      <c r="L374" s="19"/>
      <c r="O374" s="2"/>
      <c r="P374" s="3"/>
      <c r="Q374" s="2"/>
      <c r="R374" s="2"/>
      <c r="S374" s="3"/>
      <c r="T374" s="3"/>
      <c r="U374" s="4"/>
      <c r="W374" s="6"/>
    </row>
    <row r="375" spans="1:23" ht="15" thickBot="1" x14ac:dyDescent="0.35">
      <c r="A375" s="2">
        <v>50</v>
      </c>
      <c r="B375" s="3" t="s">
        <v>14</v>
      </c>
      <c r="C375" s="2">
        <v>36.200000000000003</v>
      </c>
      <c r="D375" s="2">
        <v>0</v>
      </c>
      <c r="E375" s="3" t="s">
        <v>16</v>
      </c>
      <c r="F375" s="3" t="s">
        <v>8</v>
      </c>
      <c r="G375" s="4">
        <v>8457.82</v>
      </c>
      <c r="H375">
        <f t="shared" si="11"/>
        <v>1</v>
      </c>
      <c r="I375" s="6">
        <f t="shared" si="12"/>
        <v>8457.82</v>
      </c>
      <c r="L375" s="19"/>
      <c r="O375" s="2"/>
      <c r="P375" s="3"/>
      <c r="Q375" s="2"/>
      <c r="R375" s="2"/>
      <c r="S375" s="3"/>
      <c r="T375" s="3"/>
      <c r="U375" s="4"/>
      <c r="W375" s="6"/>
    </row>
    <row r="376" spans="1:23" ht="15" thickBot="1" x14ac:dyDescent="0.35">
      <c r="A376" s="2">
        <v>50</v>
      </c>
      <c r="B376" s="3" t="s">
        <v>14</v>
      </c>
      <c r="C376" s="2">
        <v>32.1</v>
      </c>
      <c r="D376" s="2">
        <v>2</v>
      </c>
      <c r="E376" s="3" t="s">
        <v>16</v>
      </c>
      <c r="F376" s="3" t="s">
        <v>9</v>
      </c>
      <c r="G376" s="4">
        <v>25333.33</v>
      </c>
      <c r="H376">
        <f t="shared" si="11"/>
        <v>3</v>
      </c>
      <c r="I376" s="6">
        <f t="shared" si="12"/>
        <v>8444.4433333333345</v>
      </c>
      <c r="L376" s="19"/>
      <c r="O376" s="2"/>
      <c r="P376" s="3"/>
      <c r="Q376" s="2"/>
      <c r="R376" s="2"/>
      <c r="S376" s="3"/>
      <c r="T376" s="3"/>
      <c r="U376" s="4"/>
      <c r="W376" s="6"/>
    </row>
    <row r="377" spans="1:23" ht="15" thickBot="1" x14ac:dyDescent="0.35">
      <c r="A377" s="2">
        <v>50</v>
      </c>
      <c r="B377" s="3" t="s">
        <v>15</v>
      </c>
      <c r="C377" s="2">
        <v>46.1</v>
      </c>
      <c r="D377" s="2">
        <v>1</v>
      </c>
      <c r="E377" s="3" t="s">
        <v>16</v>
      </c>
      <c r="F377" s="3" t="s">
        <v>10</v>
      </c>
      <c r="G377" s="4">
        <v>9549.57</v>
      </c>
      <c r="H377">
        <f t="shared" si="11"/>
        <v>2</v>
      </c>
      <c r="I377" s="6">
        <f t="shared" si="12"/>
        <v>4774.7849999999999</v>
      </c>
      <c r="L377" s="19"/>
      <c r="O377" s="2"/>
      <c r="P377" s="3"/>
      <c r="Q377" s="2"/>
      <c r="R377" s="2"/>
      <c r="S377" s="3"/>
      <c r="T377" s="3"/>
      <c r="U377" s="4"/>
      <c r="W377" s="6"/>
    </row>
    <row r="378" spans="1:23" ht="15" thickBot="1" x14ac:dyDescent="0.35">
      <c r="A378" s="2">
        <v>50</v>
      </c>
      <c r="B378" s="3" t="s">
        <v>15</v>
      </c>
      <c r="C378" s="2">
        <v>28.2</v>
      </c>
      <c r="D378" s="2">
        <v>3</v>
      </c>
      <c r="E378" s="3" t="s">
        <v>16</v>
      </c>
      <c r="F378" s="3" t="s">
        <v>10</v>
      </c>
      <c r="G378" s="4">
        <v>10702.64</v>
      </c>
      <c r="H378">
        <f t="shared" si="11"/>
        <v>4</v>
      </c>
      <c r="I378" s="6">
        <f t="shared" si="12"/>
        <v>2675.66</v>
      </c>
      <c r="L378" s="19"/>
      <c r="O378" s="2"/>
      <c r="P378" s="3"/>
      <c r="Q378" s="2"/>
      <c r="R378" s="2"/>
      <c r="S378" s="3"/>
      <c r="T378" s="3"/>
      <c r="U378" s="4"/>
      <c r="W378" s="6"/>
    </row>
    <row r="379" spans="1:23" ht="15" thickBot="1" x14ac:dyDescent="0.35">
      <c r="A379" s="2">
        <v>50</v>
      </c>
      <c r="B379" s="3" t="s">
        <v>15</v>
      </c>
      <c r="C379" s="2">
        <v>31.6</v>
      </c>
      <c r="D379" s="2">
        <v>2</v>
      </c>
      <c r="E379" s="3" t="s">
        <v>16</v>
      </c>
      <c r="F379" s="3" t="s">
        <v>8</v>
      </c>
      <c r="G379" s="4">
        <v>10118.42</v>
      </c>
      <c r="H379">
        <f t="shared" si="11"/>
        <v>3</v>
      </c>
      <c r="I379" s="6">
        <f t="shared" si="12"/>
        <v>3372.8066666666668</v>
      </c>
      <c r="L379" s="19"/>
      <c r="O379" s="2"/>
      <c r="P379" s="3"/>
      <c r="Q379" s="2"/>
      <c r="R379" s="2"/>
      <c r="S379" s="3"/>
      <c r="T379" s="3"/>
      <c r="U379" s="4"/>
      <c r="W379" s="6"/>
    </row>
    <row r="380" spans="1:23" ht="15" thickBot="1" x14ac:dyDescent="0.35">
      <c r="A380" s="2">
        <v>50</v>
      </c>
      <c r="B380" s="3" t="s">
        <v>15</v>
      </c>
      <c r="C380" s="2">
        <v>33.700000000000003</v>
      </c>
      <c r="D380" s="2">
        <v>4</v>
      </c>
      <c r="E380" s="3" t="s">
        <v>16</v>
      </c>
      <c r="F380" s="3" t="s">
        <v>8</v>
      </c>
      <c r="G380" s="4">
        <v>11299.34</v>
      </c>
      <c r="H380">
        <f t="shared" si="11"/>
        <v>5</v>
      </c>
      <c r="I380" s="6">
        <f t="shared" si="12"/>
        <v>2259.8679999999999</v>
      </c>
      <c r="L380" s="19"/>
      <c r="O380" s="2"/>
      <c r="P380" s="3"/>
      <c r="Q380" s="2"/>
      <c r="R380" s="2"/>
      <c r="S380" s="3"/>
      <c r="T380" s="3"/>
      <c r="U380" s="4"/>
      <c r="W380" s="6"/>
    </row>
    <row r="381" spans="1:23" ht="15" thickBot="1" x14ac:dyDescent="0.35">
      <c r="A381" s="2">
        <v>50</v>
      </c>
      <c r="B381" s="3" t="s">
        <v>15</v>
      </c>
      <c r="C381" s="2">
        <v>26.2</v>
      </c>
      <c r="D381" s="2">
        <v>2</v>
      </c>
      <c r="E381" s="3" t="s">
        <v>16</v>
      </c>
      <c r="F381" s="3" t="s">
        <v>7</v>
      </c>
      <c r="G381" s="4">
        <v>10493.95</v>
      </c>
      <c r="H381">
        <f t="shared" si="11"/>
        <v>3</v>
      </c>
      <c r="I381" s="6">
        <f t="shared" si="12"/>
        <v>3497.9833333333336</v>
      </c>
      <c r="L381" s="19"/>
      <c r="O381" s="2"/>
      <c r="P381" s="3"/>
      <c r="Q381" s="2"/>
      <c r="R381" s="2"/>
      <c r="S381" s="3"/>
      <c r="T381" s="3"/>
      <c r="U381" s="4"/>
      <c r="W381" s="6"/>
    </row>
    <row r="382" spans="1:23" ht="15" thickBot="1" x14ac:dyDescent="0.35">
      <c r="A382" s="2">
        <v>50</v>
      </c>
      <c r="B382" s="3" t="s">
        <v>15</v>
      </c>
      <c r="C382" s="2">
        <v>28.1</v>
      </c>
      <c r="D382" s="2">
        <v>3</v>
      </c>
      <c r="E382" s="3" t="s">
        <v>16</v>
      </c>
      <c r="F382" s="3" t="s">
        <v>7</v>
      </c>
      <c r="G382" s="4">
        <v>11085.59</v>
      </c>
      <c r="H382">
        <f t="shared" si="11"/>
        <v>4</v>
      </c>
      <c r="I382" s="6">
        <f t="shared" si="12"/>
        <v>2771.3975</v>
      </c>
      <c r="L382" s="19"/>
      <c r="O382" s="2"/>
      <c r="P382" s="3"/>
      <c r="Q382" s="2"/>
      <c r="R382" s="2"/>
      <c r="S382" s="3"/>
      <c r="T382" s="3"/>
      <c r="U382" s="4"/>
      <c r="W382" s="6"/>
    </row>
    <row r="383" spans="1:23" ht="15" thickBot="1" x14ac:dyDescent="0.35">
      <c r="A383" s="2">
        <v>50</v>
      </c>
      <c r="B383" s="3" t="s">
        <v>14</v>
      </c>
      <c r="C383" s="2">
        <v>37.1</v>
      </c>
      <c r="D383" s="2">
        <v>1</v>
      </c>
      <c r="E383" s="3" t="s">
        <v>16</v>
      </c>
      <c r="F383" s="3" t="s">
        <v>10</v>
      </c>
      <c r="G383" s="4">
        <v>9048.0300000000007</v>
      </c>
      <c r="H383">
        <f t="shared" si="11"/>
        <v>2</v>
      </c>
      <c r="I383" s="6">
        <f t="shared" si="12"/>
        <v>4524.0150000000003</v>
      </c>
      <c r="L383" s="19"/>
      <c r="O383" s="2"/>
      <c r="P383" s="3"/>
      <c r="Q383" s="2"/>
      <c r="R383" s="2"/>
      <c r="S383" s="3"/>
      <c r="T383" s="3"/>
      <c r="U383" s="4"/>
      <c r="W383" s="6"/>
    </row>
    <row r="384" spans="1:23" ht="15" thickBot="1" x14ac:dyDescent="0.35">
      <c r="A384" s="2">
        <v>50</v>
      </c>
      <c r="B384" s="3" t="s">
        <v>14</v>
      </c>
      <c r="C384" s="2">
        <v>32.299999999999997</v>
      </c>
      <c r="D384" s="2">
        <v>2</v>
      </c>
      <c r="E384" s="3" t="s">
        <v>16</v>
      </c>
      <c r="F384" s="3" t="s">
        <v>8</v>
      </c>
      <c r="G384" s="4">
        <v>9630.4</v>
      </c>
      <c r="H384">
        <f t="shared" si="11"/>
        <v>3</v>
      </c>
      <c r="I384" s="6">
        <f t="shared" si="12"/>
        <v>3210.1333333333332</v>
      </c>
      <c r="L384" s="19"/>
      <c r="O384" s="2"/>
      <c r="P384" s="3"/>
      <c r="Q384" s="2"/>
      <c r="R384" s="2"/>
      <c r="S384" s="3"/>
      <c r="T384" s="3"/>
      <c r="U384" s="4"/>
      <c r="W384" s="6"/>
    </row>
    <row r="385" spans="1:23" ht="15" thickBot="1" x14ac:dyDescent="0.35">
      <c r="A385" s="2">
        <v>50</v>
      </c>
      <c r="B385" s="3" t="s">
        <v>14</v>
      </c>
      <c r="C385" s="2">
        <v>25.3</v>
      </c>
      <c r="D385" s="2">
        <v>0</v>
      </c>
      <c r="E385" s="3" t="s">
        <v>16</v>
      </c>
      <c r="F385" s="3" t="s">
        <v>10</v>
      </c>
      <c r="G385" s="4">
        <v>8442.67</v>
      </c>
      <c r="H385">
        <f t="shared" si="11"/>
        <v>1</v>
      </c>
      <c r="I385" s="6">
        <f t="shared" si="12"/>
        <v>8442.67</v>
      </c>
      <c r="L385" s="19"/>
      <c r="O385" s="2"/>
      <c r="P385" s="3"/>
      <c r="Q385" s="2"/>
      <c r="R385" s="2"/>
      <c r="S385" s="3"/>
      <c r="T385" s="3"/>
      <c r="U385" s="4"/>
      <c r="W385" s="6"/>
    </row>
    <row r="386" spans="1:23" ht="15" thickBot="1" x14ac:dyDescent="0.35">
      <c r="A386" s="2">
        <v>50</v>
      </c>
      <c r="B386" s="3" t="s">
        <v>14</v>
      </c>
      <c r="C386" s="2">
        <v>31</v>
      </c>
      <c r="D386" s="2">
        <v>3</v>
      </c>
      <c r="E386" s="3" t="s">
        <v>16</v>
      </c>
      <c r="F386" s="3" t="s">
        <v>7</v>
      </c>
      <c r="G386" s="4">
        <v>10600.55</v>
      </c>
      <c r="H386">
        <f t="shared" si="11"/>
        <v>4</v>
      </c>
      <c r="I386" s="6">
        <f t="shared" si="12"/>
        <v>2650.1374999999998</v>
      </c>
      <c r="L386" s="19"/>
      <c r="O386" s="2"/>
      <c r="P386" s="3"/>
      <c r="Q386" s="2"/>
      <c r="R386" s="2"/>
      <c r="S386" s="3"/>
      <c r="T386" s="3"/>
      <c r="U386" s="4"/>
      <c r="W386" s="6"/>
    </row>
    <row r="387" spans="1:23" ht="15" thickBot="1" x14ac:dyDescent="0.35">
      <c r="A387" s="2">
        <v>49</v>
      </c>
      <c r="B387" s="3" t="s">
        <v>15</v>
      </c>
      <c r="C387" s="2">
        <v>27.2</v>
      </c>
      <c r="D387" s="2">
        <v>0</v>
      </c>
      <c r="E387" s="3" t="s">
        <v>16</v>
      </c>
      <c r="F387" s="3" t="s">
        <v>10</v>
      </c>
      <c r="G387" s="4">
        <v>8601.33</v>
      </c>
      <c r="H387">
        <f t="shared" ref="H387:H450" si="13">D387+1</f>
        <v>1</v>
      </c>
      <c r="I387" s="6">
        <f t="shared" ref="I387:I450" si="14">G387/H387</f>
        <v>8601.33</v>
      </c>
      <c r="L387" s="19"/>
      <c r="O387" s="2"/>
      <c r="P387" s="3"/>
      <c r="Q387" s="2"/>
      <c r="R387" s="2"/>
      <c r="S387" s="3"/>
      <c r="T387" s="3"/>
      <c r="U387" s="4"/>
      <c r="W387" s="6"/>
    </row>
    <row r="388" spans="1:23" ht="15" thickBot="1" x14ac:dyDescent="0.35">
      <c r="A388" s="2">
        <v>49</v>
      </c>
      <c r="B388" s="3" t="s">
        <v>14</v>
      </c>
      <c r="C388" s="2">
        <v>30.3</v>
      </c>
      <c r="D388" s="2">
        <v>0</v>
      </c>
      <c r="E388" s="3" t="s">
        <v>16</v>
      </c>
      <c r="F388" s="3" t="s">
        <v>8</v>
      </c>
      <c r="G388" s="4">
        <v>8116.68</v>
      </c>
      <c r="H388">
        <f t="shared" si="13"/>
        <v>1</v>
      </c>
      <c r="I388" s="6">
        <f t="shared" si="14"/>
        <v>8116.68</v>
      </c>
      <c r="L388" s="19"/>
      <c r="O388" s="2"/>
      <c r="P388" s="3"/>
      <c r="Q388" s="2"/>
      <c r="R388" s="2"/>
      <c r="S388" s="3"/>
      <c r="T388" s="3"/>
      <c r="U388" s="4"/>
      <c r="W388" s="6"/>
    </row>
    <row r="389" spans="1:23" ht="15" thickBot="1" x14ac:dyDescent="0.35">
      <c r="A389" s="2">
        <v>49</v>
      </c>
      <c r="B389" s="3" t="s">
        <v>14</v>
      </c>
      <c r="C389" s="2">
        <v>25.8</v>
      </c>
      <c r="D389" s="2">
        <v>1</v>
      </c>
      <c r="E389" s="3" t="s">
        <v>16</v>
      </c>
      <c r="F389" s="3" t="s">
        <v>9</v>
      </c>
      <c r="G389" s="4">
        <v>9282.48</v>
      </c>
      <c r="H389">
        <f t="shared" si="13"/>
        <v>2</v>
      </c>
      <c r="I389" s="6">
        <f t="shared" si="14"/>
        <v>4641.24</v>
      </c>
      <c r="L389" s="19"/>
      <c r="O389" s="2"/>
      <c r="P389" s="3"/>
      <c r="Q389" s="2"/>
      <c r="R389" s="2"/>
      <c r="S389" s="3"/>
      <c r="T389" s="3"/>
      <c r="U389" s="4"/>
      <c r="W389" s="6"/>
    </row>
    <row r="390" spans="1:23" ht="15" thickBot="1" x14ac:dyDescent="0.35">
      <c r="A390" s="2">
        <v>49</v>
      </c>
      <c r="B390" s="3" t="s">
        <v>14</v>
      </c>
      <c r="C390" s="2">
        <v>35.9</v>
      </c>
      <c r="D390" s="2">
        <v>0</v>
      </c>
      <c r="E390" s="3" t="s">
        <v>16</v>
      </c>
      <c r="F390" s="3" t="s">
        <v>10</v>
      </c>
      <c r="G390" s="4">
        <v>8124.41</v>
      </c>
      <c r="H390">
        <f t="shared" si="13"/>
        <v>1</v>
      </c>
      <c r="I390" s="6">
        <f t="shared" si="14"/>
        <v>8124.41</v>
      </c>
      <c r="L390" s="19"/>
      <c r="O390" s="2"/>
      <c r="P390" s="3"/>
      <c r="Q390" s="2"/>
      <c r="R390" s="2"/>
      <c r="S390" s="3"/>
      <c r="T390" s="3"/>
      <c r="U390" s="4"/>
      <c r="W390" s="6"/>
    </row>
    <row r="391" spans="1:23" ht="15" thickBot="1" x14ac:dyDescent="0.35">
      <c r="A391" s="2">
        <v>49</v>
      </c>
      <c r="B391" s="3" t="s">
        <v>15</v>
      </c>
      <c r="C391" s="2">
        <v>41.5</v>
      </c>
      <c r="D391" s="2">
        <v>4</v>
      </c>
      <c r="E391" s="3" t="s">
        <v>16</v>
      </c>
      <c r="F391" s="3" t="s">
        <v>10</v>
      </c>
      <c r="G391" s="4">
        <v>10977.21</v>
      </c>
      <c r="H391">
        <f t="shared" si="13"/>
        <v>5</v>
      </c>
      <c r="I391" s="6">
        <f t="shared" si="14"/>
        <v>2195.442</v>
      </c>
      <c r="L391" s="19"/>
      <c r="O391" s="2"/>
      <c r="P391" s="3"/>
      <c r="Q391" s="2"/>
      <c r="R391" s="2"/>
      <c r="S391" s="3"/>
      <c r="T391" s="3"/>
      <c r="U391" s="4"/>
      <c r="W391" s="6"/>
    </row>
    <row r="392" spans="1:23" ht="15" thickBot="1" x14ac:dyDescent="0.35">
      <c r="A392" s="2">
        <v>49</v>
      </c>
      <c r="B392" s="3" t="s">
        <v>15</v>
      </c>
      <c r="C392" s="2">
        <v>30.8</v>
      </c>
      <c r="D392" s="2">
        <v>1</v>
      </c>
      <c r="E392" s="3" t="s">
        <v>16</v>
      </c>
      <c r="F392" s="3" t="s">
        <v>9</v>
      </c>
      <c r="G392" s="4">
        <v>9778.35</v>
      </c>
      <c r="H392">
        <f t="shared" si="13"/>
        <v>2</v>
      </c>
      <c r="I392" s="6">
        <f t="shared" si="14"/>
        <v>4889.1750000000002</v>
      </c>
      <c r="L392" s="19"/>
      <c r="O392" s="2"/>
      <c r="P392" s="3"/>
      <c r="Q392" s="2"/>
      <c r="R392" s="2"/>
      <c r="S392" s="3"/>
      <c r="T392" s="3"/>
      <c r="U392" s="4"/>
      <c r="W392" s="6"/>
    </row>
    <row r="393" spans="1:23" ht="15" thickBot="1" x14ac:dyDescent="0.35">
      <c r="A393" s="2">
        <v>49</v>
      </c>
      <c r="B393" s="3" t="s">
        <v>14</v>
      </c>
      <c r="C393" s="2">
        <v>31.4</v>
      </c>
      <c r="D393" s="2">
        <v>1</v>
      </c>
      <c r="E393" s="3" t="s">
        <v>16</v>
      </c>
      <c r="F393" s="3" t="s">
        <v>9</v>
      </c>
      <c r="G393" s="4">
        <v>9290.14</v>
      </c>
      <c r="H393">
        <f t="shared" si="13"/>
        <v>2</v>
      </c>
      <c r="I393" s="6">
        <f t="shared" si="14"/>
        <v>4645.07</v>
      </c>
      <c r="L393" s="19"/>
      <c r="O393" s="2"/>
      <c r="P393" s="3"/>
      <c r="Q393" s="2"/>
      <c r="R393" s="2"/>
      <c r="S393" s="3"/>
      <c r="T393" s="3"/>
      <c r="U393" s="4"/>
      <c r="W393" s="6"/>
    </row>
    <row r="394" spans="1:23" ht="15" thickBot="1" x14ac:dyDescent="0.35">
      <c r="A394" s="2">
        <v>49</v>
      </c>
      <c r="B394" s="3" t="s">
        <v>14</v>
      </c>
      <c r="C394" s="2">
        <v>32.299999999999997</v>
      </c>
      <c r="D394" s="2">
        <v>3</v>
      </c>
      <c r="E394" s="3" t="s">
        <v>16</v>
      </c>
      <c r="F394" s="3" t="s">
        <v>7</v>
      </c>
      <c r="G394" s="4">
        <v>10269.459999999999</v>
      </c>
      <c r="H394">
        <f t="shared" si="13"/>
        <v>4</v>
      </c>
      <c r="I394" s="6">
        <f t="shared" si="14"/>
        <v>2567.3649999999998</v>
      </c>
      <c r="L394" s="19"/>
      <c r="O394" s="2"/>
      <c r="P394" s="3"/>
      <c r="Q394" s="2"/>
      <c r="R394" s="2"/>
      <c r="S394" s="3"/>
      <c r="T394" s="3"/>
      <c r="U394" s="4"/>
      <c r="W394" s="6"/>
    </row>
    <row r="395" spans="1:23" ht="15" thickBot="1" x14ac:dyDescent="0.35">
      <c r="A395" s="2">
        <v>49</v>
      </c>
      <c r="B395" s="3" t="s">
        <v>15</v>
      </c>
      <c r="C395" s="2">
        <v>36.6</v>
      </c>
      <c r="D395" s="2">
        <v>3</v>
      </c>
      <c r="E395" s="3" t="s">
        <v>16</v>
      </c>
      <c r="F395" s="3" t="s">
        <v>10</v>
      </c>
      <c r="G395" s="4">
        <v>10381.48</v>
      </c>
      <c r="H395">
        <f t="shared" si="13"/>
        <v>4</v>
      </c>
      <c r="I395" s="6">
        <f t="shared" si="14"/>
        <v>2595.37</v>
      </c>
      <c r="L395" s="19"/>
      <c r="O395" s="2"/>
      <c r="P395" s="3"/>
      <c r="Q395" s="2"/>
      <c r="R395" s="2"/>
      <c r="S395" s="3"/>
      <c r="T395" s="3"/>
      <c r="U395" s="4"/>
      <c r="W395" s="6"/>
    </row>
    <row r="396" spans="1:23" ht="15" thickBot="1" x14ac:dyDescent="0.35">
      <c r="A396" s="2">
        <v>49</v>
      </c>
      <c r="B396" s="3" t="s">
        <v>14</v>
      </c>
      <c r="C396" s="2">
        <v>37.5</v>
      </c>
      <c r="D396" s="2">
        <v>2</v>
      </c>
      <c r="E396" s="3" t="s">
        <v>16</v>
      </c>
      <c r="F396" s="3" t="s">
        <v>10</v>
      </c>
      <c r="G396" s="4">
        <v>9304.7000000000007</v>
      </c>
      <c r="H396">
        <f t="shared" si="13"/>
        <v>3</v>
      </c>
      <c r="I396" s="6">
        <f t="shared" si="14"/>
        <v>3101.5666666666671</v>
      </c>
      <c r="L396" s="19"/>
      <c r="O396" s="2"/>
      <c r="P396" s="3"/>
      <c r="Q396" s="2"/>
      <c r="R396" s="2"/>
      <c r="S396" s="3"/>
      <c r="T396" s="3"/>
      <c r="U396" s="4"/>
      <c r="W396" s="6"/>
    </row>
    <row r="397" spans="1:23" ht="15" thickBot="1" x14ac:dyDescent="0.35">
      <c r="A397" s="2">
        <v>49</v>
      </c>
      <c r="B397" s="3" t="s">
        <v>14</v>
      </c>
      <c r="C397" s="2">
        <v>25.8</v>
      </c>
      <c r="D397" s="2">
        <v>2</v>
      </c>
      <c r="E397" s="3" t="s">
        <v>17</v>
      </c>
      <c r="F397" s="3" t="s">
        <v>7</v>
      </c>
      <c r="G397" s="4">
        <v>23807.24</v>
      </c>
      <c r="H397">
        <f t="shared" si="13"/>
        <v>3</v>
      </c>
      <c r="I397" s="6">
        <f t="shared" si="14"/>
        <v>7935.7466666666669</v>
      </c>
      <c r="L397" s="19"/>
      <c r="O397" s="2"/>
      <c r="P397" s="3"/>
      <c r="Q397" s="2"/>
      <c r="R397" s="2"/>
      <c r="S397" s="3"/>
      <c r="T397" s="3"/>
      <c r="U397" s="4"/>
      <c r="W397" s="6"/>
    </row>
    <row r="398" spans="1:23" ht="15" thickBot="1" x14ac:dyDescent="0.35">
      <c r="A398" s="2">
        <v>49</v>
      </c>
      <c r="B398" s="3" t="s">
        <v>15</v>
      </c>
      <c r="C398" s="2">
        <v>31.9</v>
      </c>
      <c r="D398" s="2">
        <v>5</v>
      </c>
      <c r="E398" s="3" t="s">
        <v>16</v>
      </c>
      <c r="F398" s="3" t="s">
        <v>8</v>
      </c>
      <c r="G398" s="4">
        <v>11552.9</v>
      </c>
      <c r="H398">
        <f t="shared" si="13"/>
        <v>6</v>
      </c>
      <c r="I398" s="6">
        <f t="shared" si="14"/>
        <v>1925.4833333333333</v>
      </c>
      <c r="L398" s="19"/>
      <c r="O398" s="2"/>
      <c r="P398" s="3"/>
      <c r="Q398" s="2"/>
      <c r="R398" s="2"/>
      <c r="S398" s="3"/>
      <c r="T398" s="3"/>
      <c r="U398" s="4"/>
      <c r="W398" s="6"/>
    </row>
    <row r="399" spans="1:23" ht="15" thickBot="1" x14ac:dyDescent="0.35">
      <c r="A399" s="2">
        <v>49</v>
      </c>
      <c r="B399" s="3" t="s">
        <v>14</v>
      </c>
      <c r="C399" s="2">
        <v>25.6</v>
      </c>
      <c r="D399" s="2">
        <v>2</v>
      </c>
      <c r="E399" s="3" t="s">
        <v>17</v>
      </c>
      <c r="F399" s="3" t="s">
        <v>8</v>
      </c>
      <c r="G399" s="4">
        <v>23306.55</v>
      </c>
      <c r="H399">
        <f t="shared" si="13"/>
        <v>3</v>
      </c>
      <c r="I399" s="6">
        <f t="shared" si="14"/>
        <v>7768.8499999999995</v>
      </c>
      <c r="L399" s="19"/>
      <c r="O399" s="2"/>
      <c r="P399" s="3"/>
      <c r="Q399" s="2"/>
      <c r="R399" s="2"/>
      <c r="S399" s="3"/>
      <c r="T399" s="3"/>
      <c r="U399" s="4"/>
      <c r="W399" s="6"/>
    </row>
    <row r="400" spans="1:23" ht="15" thickBot="1" x14ac:dyDescent="0.35">
      <c r="A400" s="2">
        <v>49</v>
      </c>
      <c r="B400" s="3" t="s">
        <v>15</v>
      </c>
      <c r="C400" s="2">
        <v>21.3</v>
      </c>
      <c r="D400" s="2">
        <v>1</v>
      </c>
      <c r="E400" s="3" t="s">
        <v>16</v>
      </c>
      <c r="F400" s="3" t="s">
        <v>8</v>
      </c>
      <c r="G400" s="4">
        <v>9182.17</v>
      </c>
      <c r="H400">
        <f t="shared" si="13"/>
        <v>2</v>
      </c>
      <c r="I400" s="6">
        <f t="shared" si="14"/>
        <v>4591.085</v>
      </c>
      <c r="L400" s="19"/>
      <c r="O400" s="2"/>
      <c r="P400" s="3"/>
      <c r="Q400" s="2"/>
      <c r="R400" s="2"/>
      <c r="S400" s="3"/>
      <c r="T400" s="3"/>
      <c r="U400" s="4"/>
      <c r="W400" s="6"/>
    </row>
    <row r="401" spans="1:23" ht="15" thickBot="1" x14ac:dyDescent="0.35">
      <c r="A401" s="2">
        <v>49</v>
      </c>
      <c r="B401" s="3" t="s">
        <v>15</v>
      </c>
      <c r="C401" s="2">
        <v>42.7</v>
      </c>
      <c r="D401" s="2">
        <v>2</v>
      </c>
      <c r="E401" s="3" t="s">
        <v>16</v>
      </c>
      <c r="F401" s="3" t="s">
        <v>10</v>
      </c>
      <c r="G401" s="4">
        <v>9800.89</v>
      </c>
      <c r="H401">
        <f t="shared" si="13"/>
        <v>3</v>
      </c>
      <c r="I401" s="6">
        <f t="shared" si="14"/>
        <v>3266.9633333333331</v>
      </c>
      <c r="L401" s="19"/>
      <c r="O401" s="2"/>
      <c r="P401" s="3"/>
      <c r="Q401" s="2"/>
      <c r="R401" s="2"/>
      <c r="S401" s="3"/>
      <c r="T401" s="3"/>
      <c r="U401" s="4"/>
      <c r="W401" s="6"/>
    </row>
    <row r="402" spans="1:23" ht="15" thickBot="1" x14ac:dyDescent="0.35">
      <c r="A402" s="2">
        <v>49</v>
      </c>
      <c r="B402" s="3" t="s">
        <v>14</v>
      </c>
      <c r="C402" s="2">
        <v>28.7</v>
      </c>
      <c r="D402" s="2">
        <v>1</v>
      </c>
      <c r="E402" s="3" t="s">
        <v>16</v>
      </c>
      <c r="F402" s="3" t="s">
        <v>8</v>
      </c>
      <c r="G402" s="4">
        <v>8703.4599999999991</v>
      </c>
      <c r="H402">
        <f t="shared" si="13"/>
        <v>2</v>
      </c>
      <c r="I402" s="6">
        <f t="shared" si="14"/>
        <v>4351.7299999999996</v>
      </c>
      <c r="L402" s="19"/>
      <c r="O402" s="2"/>
      <c r="P402" s="3"/>
      <c r="Q402" s="2"/>
      <c r="R402" s="2"/>
      <c r="S402" s="3"/>
      <c r="T402" s="3"/>
      <c r="U402" s="4"/>
      <c r="W402" s="6"/>
    </row>
    <row r="403" spans="1:23" ht="15" thickBot="1" x14ac:dyDescent="0.35">
      <c r="A403" s="2">
        <v>49</v>
      </c>
      <c r="B403" s="3" t="s">
        <v>15</v>
      </c>
      <c r="C403" s="2">
        <v>23.2</v>
      </c>
      <c r="D403" s="2">
        <v>2</v>
      </c>
      <c r="E403" s="3" t="s">
        <v>16</v>
      </c>
      <c r="F403" s="3" t="s">
        <v>7</v>
      </c>
      <c r="G403" s="4">
        <v>10156.780000000001</v>
      </c>
      <c r="H403">
        <f t="shared" si="13"/>
        <v>3</v>
      </c>
      <c r="I403" s="6">
        <f t="shared" si="14"/>
        <v>3385.5933333333337</v>
      </c>
      <c r="L403" s="19"/>
      <c r="O403" s="2"/>
      <c r="P403" s="3"/>
      <c r="Q403" s="2"/>
      <c r="R403" s="2"/>
      <c r="S403" s="3"/>
      <c r="T403" s="3"/>
      <c r="U403" s="4"/>
      <c r="W403" s="6"/>
    </row>
    <row r="404" spans="1:23" ht="15" thickBot="1" x14ac:dyDescent="0.35">
      <c r="A404" s="2">
        <v>49</v>
      </c>
      <c r="B404" s="3" t="s">
        <v>14</v>
      </c>
      <c r="C404" s="2">
        <v>28.7</v>
      </c>
      <c r="D404" s="2">
        <v>3</v>
      </c>
      <c r="E404" s="3" t="s">
        <v>16</v>
      </c>
      <c r="F404" s="3" t="s">
        <v>7</v>
      </c>
      <c r="G404" s="4">
        <v>10264.44</v>
      </c>
      <c r="H404">
        <f t="shared" si="13"/>
        <v>4</v>
      </c>
      <c r="I404" s="6">
        <f t="shared" si="14"/>
        <v>2566.11</v>
      </c>
      <c r="L404" s="19"/>
      <c r="O404" s="2"/>
      <c r="P404" s="3"/>
      <c r="Q404" s="2"/>
      <c r="R404" s="2"/>
      <c r="S404" s="3"/>
      <c r="T404" s="3"/>
      <c r="U404" s="4"/>
      <c r="W404" s="6"/>
    </row>
    <row r="405" spans="1:23" ht="15" thickBot="1" x14ac:dyDescent="0.35">
      <c r="A405" s="2">
        <v>49</v>
      </c>
      <c r="B405" s="3" t="s">
        <v>15</v>
      </c>
      <c r="C405" s="2">
        <v>22.6</v>
      </c>
      <c r="D405" s="2">
        <v>1</v>
      </c>
      <c r="E405" s="3" t="s">
        <v>16</v>
      </c>
      <c r="F405" s="3" t="s">
        <v>7</v>
      </c>
      <c r="G405" s="4">
        <v>9566.99</v>
      </c>
      <c r="H405">
        <f t="shared" si="13"/>
        <v>2</v>
      </c>
      <c r="I405" s="6">
        <f t="shared" si="14"/>
        <v>4783.4949999999999</v>
      </c>
      <c r="L405" s="19"/>
      <c r="O405" s="2"/>
      <c r="P405" s="3"/>
      <c r="Q405" s="2"/>
      <c r="R405" s="2"/>
      <c r="S405" s="3"/>
      <c r="T405" s="3"/>
      <c r="U405" s="4"/>
      <c r="W405" s="6"/>
    </row>
    <row r="406" spans="1:23" ht="15" thickBot="1" x14ac:dyDescent="0.35">
      <c r="A406" s="2">
        <v>49</v>
      </c>
      <c r="B406" s="3" t="s">
        <v>15</v>
      </c>
      <c r="C406" s="2">
        <v>34.799999999999997</v>
      </c>
      <c r="D406" s="2">
        <v>1</v>
      </c>
      <c r="E406" s="3" t="s">
        <v>16</v>
      </c>
      <c r="F406" s="3" t="s">
        <v>7</v>
      </c>
      <c r="G406" s="4">
        <v>9583.89</v>
      </c>
      <c r="H406">
        <f t="shared" si="13"/>
        <v>2</v>
      </c>
      <c r="I406" s="6">
        <f t="shared" si="14"/>
        <v>4791.9449999999997</v>
      </c>
      <c r="L406" s="19"/>
      <c r="O406" s="2"/>
      <c r="P406" s="3"/>
      <c r="Q406" s="2"/>
      <c r="R406" s="2"/>
      <c r="S406" s="3"/>
      <c r="T406" s="3"/>
      <c r="U406" s="4"/>
      <c r="W406" s="6"/>
    </row>
    <row r="407" spans="1:23" ht="15" thickBot="1" x14ac:dyDescent="0.35">
      <c r="A407" s="2">
        <v>49</v>
      </c>
      <c r="B407" s="3" t="s">
        <v>15</v>
      </c>
      <c r="C407" s="2">
        <v>23.8</v>
      </c>
      <c r="D407" s="2">
        <v>3</v>
      </c>
      <c r="E407" s="3" t="s">
        <v>17</v>
      </c>
      <c r="F407" s="3" t="s">
        <v>9</v>
      </c>
      <c r="G407" s="4">
        <v>24106.91</v>
      </c>
      <c r="H407">
        <f t="shared" si="13"/>
        <v>4</v>
      </c>
      <c r="I407" s="6">
        <f t="shared" si="14"/>
        <v>6026.7275</v>
      </c>
      <c r="L407" s="19"/>
      <c r="O407" s="2"/>
      <c r="P407" s="3"/>
      <c r="Q407" s="2"/>
      <c r="R407" s="2"/>
      <c r="S407" s="3"/>
      <c r="T407" s="3"/>
      <c r="U407" s="4"/>
      <c r="W407" s="6"/>
    </row>
    <row r="408" spans="1:23" ht="15" thickBot="1" x14ac:dyDescent="0.35">
      <c r="A408" s="2">
        <v>49</v>
      </c>
      <c r="B408" s="3" t="s">
        <v>15</v>
      </c>
      <c r="C408" s="2">
        <v>27.1</v>
      </c>
      <c r="D408" s="2">
        <v>1</v>
      </c>
      <c r="E408" s="3" t="s">
        <v>16</v>
      </c>
      <c r="F408" s="3" t="s">
        <v>8</v>
      </c>
      <c r="G408" s="4">
        <v>26140.36</v>
      </c>
      <c r="H408">
        <f t="shared" si="13"/>
        <v>2</v>
      </c>
      <c r="I408" s="6">
        <f t="shared" si="14"/>
        <v>13070.18</v>
      </c>
      <c r="L408" s="19"/>
      <c r="O408" s="2"/>
      <c r="P408" s="3"/>
      <c r="Q408" s="2"/>
      <c r="R408" s="2"/>
      <c r="S408" s="3"/>
      <c r="T408" s="3"/>
      <c r="U408" s="4"/>
      <c r="W408" s="6"/>
    </row>
    <row r="409" spans="1:23" ht="15" thickBot="1" x14ac:dyDescent="0.35">
      <c r="A409" s="2">
        <v>49</v>
      </c>
      <c r="B409" s="3" t="s">
        <v>14</v>
      </c>
      <c r="C409" s="2">
        <v>22.5</v>
      </c>
      <c r="D409" s="2">
        <v>0</v>
      </c>
      <c r="E409" s="3" t="s">
        <v>16</v>
      </c>
      <c r="F409" s="3" t="s">
        <v>9</v>
      </c>
      <c r="G409" s="4">
        <v>8688.86</v>
      </c>
      <c r="H409">
        <f t="shared" si="13"/>
        <v>1</v>
      </c>
      <c r="I409" s="6">
        <f t="shared" si="14"/>
        <v>8688.86</v>
      </c>
      <c r="L409" s="19"/>
      <c r="O409" s="2"/>
      <c r="P409" s="3"/>
      <c r="Q409" s="2"/>
      <c r="R409" s="2"/>
      <c r="S409" s="3"/>
      <c r="T409" s="3"/>
      <c r="U409" s="4"/>
      <c r="W409" s="6"/>
    </row>
    <row r="410" spans="1:23" ht="15" thickBot="1" x14ac:dyDescent="0.35">
      <c r="A410" s="2">
        <v>49</v>
      </c>
      <c r="B410" s="3" t="s">
        <v>14</v>
      </c>
      <c r="C410" s="2">
        <v>36.9</v>
      </c>
      <c r="D410" s="2">
        <v>0</v>
      </c>
      <c r="E410" s="3" t="s">
        <v>16</v>
      </c>
      <c r="F410" s="3" t="s">
        <v>10</v>
      </c>
      <c r="G410" s="4">
        <v>8125.78</v>
      </c>
      <c r="H410">
        <f t="shared" si="13"/>
        <v>1</v>
      </c>
      <c r="I410" s="6">
        <f t="shared" si="14"/>
        <v>8125.78</v>
      </c>
      <c r="L410" s="19"/>
      <c r="O410" s="2"/>
      <c r="P410" s="3"/>
      <c r="Q410" s="2"/>
      <c r="R410" s="2"/>
      <c r="S410" s="3"/>
      <c r="T410" s="3"/>
      <c r="U410" s="4"/>
      <c r="W410" s="6"/>
    </row>
    <row r="411" spans="1:23" ht="15" thickBot="1" x14ac:dyDescent="0.35">
      <c r="A411" s="2">
        <v>49</v>
      </c>
      <c r="B411" s="3" t="s">
        <v>14</v>
      </c>
      <c r="C411" s="2">
        <v>30.9</v>
      </c>
      <c r="D411" s="2">
        <v>0</v>
      </c>
      <c r="E411" s="3" t="s">
        <v>17</v>
      </c>
      <c r="F411" s="3" t="s">
        <v>8</v>
      </c>
      <c r="G411" s="4">
        <v>39727.61</v>
      </c>
      <c r="H411">
        <f t="shared" si="13"/>
        <v>1</v>
      </c>
      <c r="I411" s="6">
        <f t="shared" si="14"/>
        <v>39727.61</v>
      </c>
      <c r="L411" s="19"/>
      <c r="O411" s="2"/>
      <c r="P411" s="3"/>
      <c r="Q411" s="2"/>
      <c r="R411" s="2"/>
      <c r="S411" s="3"/>
      <c r="T411" s="3"/>
      <c r="U411" s="4"/>
      <c r="W411" s="6"/>
    </row>
    <row r="412" spans="1:23" ht="15" thickBot="1" x14ac:dyDescent="0.35">
      <c r="A412" s="2">
        <v>49</v>
      </c>
      <c r="B412" s="3" t="s">
        <v>14</v>
      </c>
      <c r="C412" s="2">
        <v>29.8</v>
      </c>
      <c r="D412" s="2">
        <v>1</v>
      </c>
      <c r="E412" s="3" t="s">
        <v>16</v>
      </c>
      <c r="F412" s="3" t="s">
        <v>9</v>
      </c>
      <c r="G412" s="4">
        <v>9288.0300000000007</v>
      </c>
      <c r="H412">
        <f t="shared" si="13"/>
        <v>2</v>
      </c>
      <c r="I412" s="6">
        <f t="shared" si="14"/>
        <v>4644.0150000000003</v>
      </c>
      <c r="L412" s="19"/>
      <c r="O412" s="2"/>
      <c r="P412" s="3"/>
      <c r="Q412" s="2"/>
      <c r="R412" s="2"/>
      <c r="S412" s="3"/>
      <c r="T412" s="3"/>
      <c r="U412" s="4"/>
      <c r="W412" s="6"/>
    </row>
    <row r="413" spans="1:23" ht="15" thickBot="1" x14ac:dyDescent="0.35">
      <c r="A413" s="2">
        <v>49</v>
      </c>
      <c r="B413" s="3" t="s">
        <v>15</v>
      </c>
      <c r="C413" s="2">
        <v>29.9</v>
      </c>
      <c r="D413" s="2">
        <v>0</v>
      </c>
      <c r="E413" s="3" t="s">
        <v>16</v>
      </c>
      <c r="F413" s="3" t="s">
        <v>7</v>
      </c>
      <c r="G413" s="4">
        <v>8988.16</v>
      </c>
      <c r="H413">
        <f t="shared" si="13"/>
        <v>1</v>
      </c>
      <c r="I413" s="6">
        <f t="shared" si="14"/>
        <v>8988.16</v>
      </c>
      <c r="L413" s="19"/>
      <c r="O413" s="2"/>
      <c r="P413" s="3"/>
      <c r="Q413" s="2"/>
      <c r="R413" s="2"/>
      <c r="S413" s="3"/>
      <c r="T413" s="3"/>
      <c r="U413" s="4"/>
      <c r="W413" s="6"/>
    </row>
    <row r="414" spans="1:23" ht="15" thickBot="1" x14ac:dyDescent="0.35">
      <c r="A414" s="2">
        <v>49</v>
      </c>
      <c r="B414" s="3" t="s">
        <v>15</v>
      </c>
      <c r="C414" s="2">
        <v>33.299999999999997</v>
      </c>
      <c r="D414" s="2">
        <v>2</v>
      </c>
      <c r="E414" s="3" t="s">
        <v>16</v>
      </c>
      <c r="F414" s="3" t="s">
        <v>9</v>
      </c>
      <c r="G414" s="4">
        <v>10370.91</v>
      </c>
      <c r="H414">
        <f t="shared" si="13"/>
        <v>3</v>
      </c>
      <c r="I414" s="6">
        <f t="shared" si="14"/>
        <v>3456.97</v>
      </c>
      <c r="L414" s="19"/>
      <c r="O414" s="2"/>
      <c r="P414" s="3"/>
      <c r="Q414" s="2"/>
      <c r="R414" s="2"/>
      <c r="S414" s="3"/>
      <c r="T414" s="3"/>
      <c r="U414" s="4"/>
      <c r="W414" s="6"/>
    </row>
    <row r="415" spans="1:23" ht="15" thickBot="1" x14ac:dyDescent="0.35">
      <c r="A415" s="2">
        <v>48</v>
      </c>
      <c r="B415" s="3" t="s">
        <v>14</v>
      </c>
      <c r="C415" s="2">
        <v>28</v>
      </c>
      <c r="D415" s="2">
        <v>1</v>
      </c>
      <c r="E415" s="3" t="s">
        <v>17</v>
      </c>
      <c r="F415" s="3" t="s">
        <v>8</v>
      </c>
      <c r="G415" s="4">
        <v>23568.27</v>
      </c>
      <c r="H415">
        <f t="shared" si="13"/>
        <v>2</v>
      </c>
      <c r="I415" s="6">
        <f t="shared" si="14"/>
        <v>11784.135</v>
      </c>
      <c r="L415" s="19"/>
      <c r="O415" s="2"/>
      <c r="P415" s="3"/>
      <c r="Q415" s="2"/>
      <c r="R415" s="2"/>
      <c r="S415" s="3"/>
      <c r="T415" s="3"/>
      <c r="U415" s="4"/>
      <c r="W415" s="6"/>
    </row>
    <row r="416" spans="1:23" ht="15" thickBot="1" x14ac:dyDescent="0.35">
      <c r="A416" s="2">
        <v>48</v>
      </c>
      <c r="B416" s="3" t="s">
        <v>15</v>
      </c>
      <c r="C416" s="2">
        <v>41.2</v>
      </c>
      <c r="D416" s="2">
        <v>4</v>
      </c>
      <c r="E416" s="3" t="s">
        <v>16</v>
      </c>
      <c r="F416" s="3" t="s">
        <v>7</v>
      </c>
      <c r="G416" s="4">
        <v>11033.66</v>
      </c>
      <c r="H416">
        <f t="shared" si="13"/>
        <v>5</v>
      </c>
      <c r="I416" s="6">
        <f t="shared" si="14"/>
        <v>2206.732</v>
      </c>
      <c r="L416" s="19"/>
      <c r="O416" s="2"/>
      <c r="P416" s="3"/>
      <c r="Q416" s="2"/>
      <c r="R416" s="2"/>
      <c r="S416" s="3"/>
      <c r="T416" s="3"/>
      <c r="U416" s="4"/>
      <c r="W416" s="6"/>
    </row>
    <row r="417" spans="1:23" ht="15" thickBot="1" x14ac:dyDescent="0.35">
      <c r="A417" s="2">
        <v>48</v>
      </c>
      <c r="B417" s="3" t="s">
        <v>14</v>
      </c>
      <c r="C417" s="2">
        <v>29.7</v>
      </c>
      <c r="D417" s="2">
        <v>0</v>
      </c>
      <c r="E417" s="3" t="s">
        <v>16</v>
      </c>
      <c r="F417" s="3" t="s">
        <v>10</v>
      </c>
      <c r="G417" s="4">
        <v>7789.64</v>
      </c>
      <c r="H417">
        <f t="shared" si="13"/>
        <v>1</v>
      </c>
      <c r="I417" s="6">
        <f t="shared" si="14"/>
        <v>7789.64</v>
      </c>
      <c r="L417" s="19"/>
      <c r="O417" s="2"/>
      <c r="P417" s="3"/>
      <c r="Q417" s="2"/>
      <c r="R417" s="2"/>
      <c r="S417" s="3"/>
      <c r="T417" s="3"/>
      <c r="U417" s="4"/>
      <c r="W417" s="6"/>
    </row>
    <row r="418" spans="1:23" ht="15" thickBot="1" x14ac:dyDescent="0.35">
      <c r="A418" s="2">
        <v>48</v>
      </c>
      <c r="B418" s="3" t="s">
        <v>14</v>
      </c>
      <c r="C418" s="2">
        <v>24.4</v>
      </c>
      <c r="D418" s="2">
        <v>0</v>
      </c>
      <c r="E418" s="3" t="s">
        <v>17</v>
      </c>
      <c r="F418" s="3" t="s">
        <v>10</v>
      </c>
      <c r="G418" s="4">
        <v>21223.68</v>
      </c>
      <c r="H418">
        <f t="shared" si="13"/>
        <v>1</v>
      </c>
      <c r="I418" s="6">
        <f t="shared" si="14"/>
        <v>21223.68</v>
      </c>
      <c r="L418" s="19"/>
      <c r="O418" s="2"/>
      <c r="P418" s="3"/>
      <c r="Q418" s="2"/>
      <c r="R418" s="2"/>
      <c r="S418" s="3"/>
      <c r="T418" s="3"/>
      <c r="U418" s="4"/>
      <c r="W418" s="6"/>
    </row>
    <row r="419" spans="1:23" ht="15" thickBot="1" x14ac:dyDescent="0.35">
      <c r="A419" s="2">
        <v>48</v>
      </c>
      <c r="B419" s="3" t="s">
        <v>15</v>
      </c>
      <c r="C419" s="2">
        <v>32.200000000000003</v>
      </c>
      <c r="D419" s="2">
        <v>1</v>
      </c>
      <c r="E419" s="3" t="s">
        <v>16</v>
      </c>
      <c r="F419" s="3" t="s">
        <v>10</v>
      </c>
      <c r="G419" s="4">
        <v>8871.15</v>
      </c>
      <c r="H419">
        <f t="shared" si="13"/>
        <v>2</v>
      </c>
      <c r="I419" s="6">
        <f t="shared" si="14"/>
        <v>4435.5749999999998</v>
      </c>
      <c r="L419" s="19"/>
      <c r="O419" s="2"/>
      <c r="P419" s="3"/>
      <c r="Q419" s="2"/>
      <c r="R419" s="2"/>
      <c r="S419" s="3"/>
      <c r="T419" s="3"/>
      <c r="U419" s="4"/>
      <c r="W419" s="6"/>
    </row>
    <row r="420" spans="1:23" ht="15" thickBot="1" x14ac:dyDescent="0.35">
      <c r="A420" s="2">
        <v>48</v>
      </c>
      <c r="B420" s="3" t="s">
        <v>15</v>
      </c>
      <c r="C420" s="2">
        <v>28.9</v>
      </c>
      <c r="D420" s="2">
        <v>1</v>
      </c>
      <c r="E420" s="3" t="s">
        <v>16</v>
      </c>
      <c r="F420" s="3" t="s">
        <v>7</v>
      </c>
      <c r="G420" s="4">
        <v>9249.5</v>
      </c>
      <c r="H420">
        <f t="shared" si="13"/>
        <v>2</v>
      </c>
      <c r="I420" s="6">
        <f t="shared" si="14"/>
        <v>4624.75</v>
      </c>
      <c r="L420" s="19"/>
      <c r="O420" s="2"/>
      <c r="P420" s="3"/>
      <c r="Q420" s="2"/>
      <c r="R420" s="2"/>
      <c r="S420" s="3"/>
      <c r="T420" s="3"/>
      <c r="U420" s="4"/>
      <c r="W420" s="6"/>
    </row>
    <row r="421" spans="1:23" ht="15" thickBot="1" x14ac:dyDescent="0.35">
      <c r="A421" s="2">
        <v>48</v>
      </c>
      <c r="B421" s="3" t="s">
        <v>15</v>
      </c>
      <c r="C421" s="2">
        <v>32.299999999999997</v>
      </c>
      <c r="D421" s="2">
        <v>2</v>
      </c>
      <c r="E421" s="3" t="s">
        <v>16</v>
      </c>
      <c r="F421" s="3" t="s">
        <v>9</v>
      </c>
      <c r="G421" s="4">
        <v>10043.25</v>
      </c>
      <c r="H421">
        <f t="shared" si="13"/>
        <v>3</v>
      </c>
      <c r="I421" s="6">
        <f t="shared" si="14"/>
        <v>3347.75</v>
      </c>
      <c r="L421" s="19"/>
      <c r="O421" s="2"/>
      <c r="P421" s="3"/>
      <c r="Q421" s="2"/>
      <c r="R421" s="2"/>
      <c r="S421" s="3"/>
      <c r="T421" s="3"/>
      <c r="U421" s="4"/>
      <c r="W421" s="6"/>
    </row>
    <row r="422" spans="1:23" ht="15" thickBot="1" x14ac:dyDescent="0.35">
      <c r="A422" s="2">
        <v>48</v>
      </c>
      <c r="B422" s="3" t="s">
        <v>14</v>
      </c>
      <c r="C422" s="2">
        <v>35.6</v>
      </c>
      <c r="D422" s="2">
        <v>4</v>
      </c>
      <c r="E422" s="3" t="s">
        <v>16</v>
      </c>
      <c r="F422" s="3" t="s">
        <v>9</v>
      </c>
      <c r="G422" s="4">
        <v>10736.87</v>
      </c>
      <c r="H422">
        <f t="shared" si="13"/>
        <v>5</v>
      </c>
      <c r="I422" s="6">
        <f t="shared" si="14"/>
        <v>2147.3740000000003</v>
      </c>
      <c r="L422" s="19"/>
      <c r="O422" s="2"/>
      <c r="P422" s="3"/>
      <c r="Q422" s="2"/>
      <c r="R422" s="2"/>
      <c r="S422" s="3"/>
      <c r="T422" s="3"/>
      <c r="U422" s="4"/>
      <c r="W422" s="6"/>
    </row>
    <row r="423" spans="1:23" ht="15" thickBot="1" x14ac:dyDescent="0.35">
      <c r="A423" s="2">
        <v>48</v>
      </c>
      <c r="B423" s="3" t="s">
        <v>14</v>
      </c>
      <c r="C423" s="2">
        <v>31.4</v>
      </c>
      <c r="D423" s="2">
        <v>1</v>
      </c>
      <c r="E423" s="3" t="s">
        <v>16</v>
      </c>
      <c r="F423" s="3" t="s">
        <v>9</v>
      </c>
      <c r="G423" s="4">
        <v>8964.06</v>
      </c>
      <c r="H423">
        <f t="shared" si="13"/>
        <v>2</v>
      </c>
      <c r="I423" s="6">
        <f t="shared" si="14"/>
        <v>4482.03</v>
      </c>
      <c r="L423" s="19"/>
      <c r="O423" s="2"/>
      <c r="P423" s="3"/>
      <c r="Q423" s="2"/>
      <c r="R423" s="2"/>
      <c r="S423" s="3"/>
      <c r="T423" s="3"/>
      <c r="U423" s="4"/>
      <c r="W423" s="6"/>
    </row>
    <row r="424" spans="1:23" ht="15" thickBot="1" x14ac:dyDescent="0.35">
      <c r="A424" s="2">
        <v>48</v>
      </c>
      <c r="B424" s="3" t="s">
        <v>14</v>
      </c>
      <c r="C424" s="2">
        <v>30.2</v>
      </c>
      <c r="D424" s="2">
        <v>2</v>
      </c>
      <c r="E424" s="3" t="s">
        <v>16</v>
      </c>
      <c r="F424" s="3" t="s">
        <v>8</v>
      </c>
      <c r="G424" s="4">
        <v>8968.33</v>
      </c>
      <c r="H424">
        <f t="shared" si="13"/>
        <v>3</v>
      </c>
      <c r="I424" s="6">
        <f t="shared" si="14"/>
        <v>2989.4433333333332</v>
      </c>
      <c r="L424" s="19"/>
      <c r="O424" s="2"/>
      <c r="P424" s="3"/>
      <c r="Q424" s="2"/>
      <c r="R424" s="2"/>
      <c r="S424" s="3"/>
      <c r="T424" s="3"/>
      <c r="U424" s="4"/>
      <c r="W424" s="6"/>
    </row>
    <row r="425" spans="1:23" ht="15" thickBot="1" x14ac:dyDescent="0.35">
      <c r="A425" s="2">
        <v>48</v>
      </c>
      <c r="B425" s="3" t="s">
        <v>14</v>
      </c>
      <c r="C425" s="2">
        <v>34.299999999999997</v>
      </c>
      <c r="D425" s="2">
        <v>3</v>
      </c>
      <c r="E425" s="3" t="s">
        <v>16</v>
      </c>
      <c r="F425" s="3" t="s">
        <v>8</v>
      </c>
      <c r="G425" s="4">
        <v>9563.0300000000007</v>
      </c>
      <c r="H425">
        <f t="shared" si="13"/>
        <v>4</v>
      </c>
      <c r="I425" s="6">
        <f t="shared" si="14"/>
        <v>2390.7575000000002</v>
      </c>
      <c r="L425" s="19"/>
      <c r="O425" s="2"/>
      <c r="P425" s="3"/>
      <c r="Q425" s="2"/>
      <c r="R425" s="2"/>
      <c r="S425" s="3"/>
      <c r="T425" s="3"/>
      <c r="U425" s="4"/>
      <c r="W425" s="6"/>
    </row>
    <row r="426" spans="1:23" ht="15" thickBot="1" x14ac:dyDescent="0.35">
      <c r="A426" s="2">
        <v>48</v>
      </c>
      <c r="B426" s="3" t="s">
        <v>14</v>
      </c>
      <c r="C426" s="2">
        <v>40.6</v>
      </c>
      <c r="D426" s="2">
        <v>2</v>
      </c>
      <c r="E426" s="3" t="s">
        <v>17</v>
      </c>
      <c r="F426" s="3" t="s">
        <v>7</v>
      </c>
      <c r="G426" s="4">
        <v>45702.02</v>
      </c>
      <c r="H426">
        <f t="shared" si="13"/>
        <v>3</v>
      </c>
      <c r="I426" s="6">
        <f t="shared" si="14"/>
        <v>15234.006666666666</v>
      </c>
      <c r="L426" s="19"/>
      <c r="O426" s="2"/>
      <c r="P426" s="3"/>
      <c r="Q426" s="2"/>
      <c r="R426" s="2"/>
      <c r="S426" s="3"/>
      <c r="T426" s="3"/>
      <c r="U426" s="4"/>
      <c r="W426" s="6"/>
    </row>
    <row r="427" spans="1:23" ht="15" thickBot="1" x14ac:dyDescent="0.35">
      <c r="A427" s="2">
        <v>48</v>
      </c>
      <c r="B427" s="3" t="s">
        <v>14</v>
      </c>
      <c r="C427" s="2">
        <v>30.8</v>
      </c>
      <c r="D427" s="2">
        <v>3</v>
      </c>
      <c r="E427" s="3" t="s">
        <v>16</v>
      </c>
      <c r="F427" s="3" t="s">
        <v>9</v>
      </c>
      <c r="G427" s="4">
        <v>10141.14</v>
      </c>
      <c r="H427">
        <f t="shared" si="13"/>
        <v>4</v>
      </c>
      <c r="I427" s="6">
        <f t="shared" si="14"/>
        <v>2535.2849999999999</v>
      </c>
      <c r="L427" s="19"/>
      <c r="O427" s="2"/>
      <c r="P427" s="3"/>
      <c r="Q427" s="2"/>
      <c r="R427" s="2"/>
      <c r="S427" s="3"/>
      <c r="T427" s="3"/>
      <c r="U427" s="4"/>
      <c r="W427" s="6"/>
    </row>
    <row r="428" spans="1:23" ht="15" thickBot="1" x14ac:dyDescent="0.35">
      <c r="A428" s="2">
        <v>48</v>
      </c>
      <c r="B428" s="3" t="s">
        <v>15</v>
      </c>
      <c r="C428" s="2">
        <v>31.1</v>
      </c>
      <c r="D428" s="2">
        <v>0</v>
      </c>
      <c r="E428" s="3" t="s">
        <v>16</v>
      </c>
      <c r="F428" s="3" t="s">
        <v>10</v>
      </c>
      <c r="G428" s="4">
        <v>8280.6200000000008</v>
      </c>
      <c r="H428">
        <f t="shared" si="13"/>
        <v>1</v>
      </c>
      <c r="I428" s="6">
        <f t="shared" si="14"/>
        <v>8280.6200000000008</v>
      </c>
      <c r="L428" s="19"/>
      <c r="O428" s="2"/>
      <c r="P428" s="3"/>
      <c r="Q428" s="2"/>
      <c r="R428" s="2"/>
      <c r="S428" s="3"/>
      <c r="T428" s="3"/>
      <c r="U428" s="4"/>
      <c r="W428" s="6"/>
    </row>
    <row r="429" spans="1:23" ht="15" thickBot="1" x14ac:dyDescent="0.35">
      <c r="A429" s="2">
        <v>48</v>
      </c>
      <c r="B429" s="3" t="s">
        <v>15</v>
      </c>
      <c r="C429" s="2">
        <v>35.9</v>
      </c>
      <c r="D429" s="2">
        <v>1</v>
      </c>
      <c r="E429" s="3" t="s">
        <v>16</v>
      </c>
      <c r="F429" s="3" t="s">
        <v>9</v>
      </c>
      <c r="G429" s="4">
        <v>26392.26</v>
      </c>
      <c r="H429">
        <f t="shared" si="13"/>
        <v>2</v>
      </c>
      <c r="I429" s="6">
        <f t="shared" si="14"/>
        <v>13196.13</v>
      </c>
      <c r="L429" s="19"/>
      <c r="O429" s="2"/>
      <c r="P429" s="3"/>
      <c r="Q429" s="2"/>
      <c r="R429" s="2"/>
      <c r="S429" s="3"/>
      <c r="T429" s="3"/>
      <c r="U429" s="4"/>
      <c r="W429" s="6"/>
    </row>
    <row r="430" spans="1:23" ht="15" thickBot="1" x14ac:dyDescent="0.35">
      <c r="A430" s="2">
        <v>48</v>
      </c>
      <c r="B430" s="3" t="s">
        <v>15</v>
      </c>
      <c r="C430" s="2">
        <v>27.3</v>
      </c>
      <c r="D430" s="2">
        <v>1</v>
      </c>
      <c r="E430" s="3" t="s">
        <v>16</v>
      </c>
      <c r="F430" s="3" t="s">
        <v>9</v>
      </c>
      <c r="G430" s="4">
        <v>9447.25</v>
      </c>
      <c r="H430">
        <f t="shared" si="13"/>
        <v>2</v>
      </c>
      <c r="I430" s="6">
        <f t="shared" si="14"/>
        <v>4723.625</v>
      </c>
      <c r="L430" s="19"/>
      <c r="O430" s="2"/>
      <c r="P430" s="3"/>
      <c r="Q430" s="2"/>
      <c r="R430" s="2"/>
      <c r="S430" s="3"/>
      <c r="T430" s="3"/>
      <c r="U430" s="4"/>
      <c r="W430" s="6"/>
    </row>
    <row r="431" spans="1:23" ht="15" thickBot="1" x14ac:dyDescent="0.35">
      <c r="A431" s="2">
        <v>48</v>
      </c>
      <c r="B431" s="3" t="s">
        <v>15</v>
      </c>
      <c r="C431" s="2">
        <v>33.1</v>
      </c>
      <c r="D431" s="2">
        <v>0</v>
      </c>
      <c r="E431" s="3" t="s">
        <v>17</v>
      </c>
      <c r="F431" s="3" t="s">
        <v>10</v>
      </c>
      <c r="G431" s="4">
        <v>40974.160000000003</v>
      </c>
      <c r="H431">
        <f t="shared" si="13"/>
        <v>1</v>
      </c>
      <c r="I431" s="6">
        <f t="shared" si="14"/>
        <v>40974.160000000003</v>
      </c>
      <c r="L431" s="19"/>
      <c r="O431" s="2"/>
      <c r="P431" s="3"/>
      <c r="Q431" s="2"/>
      <c r="R431" s="2"/>
      <c r="S431" s="3"/>
      <c r="T431" s="3"/>
      <c r="U431" s="4"/>
      <c r="W431" s="6"/>
    </row>
    <row r="432" spans="1:23" ht="15" thickBot="1" x14ac:dyDescent="0.35">
      <c r="A432" s="2">
        <v>48</v>
      </c>
      <c r="B432" s="3" t="s">
        <v>14</v>
      </c>
      <c r="C432" s="2">
        <v>36.700000000000003</v>
      </c>
      <c r="D432" s="2">
        <v>1</v>
      </c>
      <c r="E432" s="3" t="s">
        <v>16</v>
      </c>
      <c r="F432" s="3" t="s">
        <v>7</v>
      </c>
      <c r="G432" s="4">
        <v>28468.92</v>
      </c>
      <c r="H432">
        <f t="shared" si="13"/>
        <v>2</v>
      </c>
      <c r="I432" s="6">
        <f t="shared" si="14"/>
        <v>14234.46</v>
      </c>
      <c r="L432" s="19"/>
      <c r="O432" s="2"/>
      <c r="P432" s="3"/>
      <c r="Q432" s="2"/>
      <c r="R432" s="2"/>
      <c r="S432" s="3"/>
      <c r="T432" s="3"/>
      <c r="U432" s="4"/>
      <c r="W432" s="6"/>
    </row>
    <row r="433" spans="1:23" ht="15" thickBot="1" x14ac:dyDescent="0.35">
      <c r="A433" s="2">
        <v>48</v>
      </c>
      <c r="B433" s="3" t="s">
        <v>14</v>
      </c>
      <c r="C433" s="2">
        <v>40.200000000000003</v>
      </c>
      <c r="D433" s="2">
        <v>0</v>
      </c>
      <c r="E433" s="3" t="s">
        <v>16</v>
      </c>
      <c r="F433" s="3" t="s">
        <v>10</v>
      </c>
      <c r="G433" s="4">
        <v>7804.16</v>
      </c>
      <c r="H433">
        <f t="shared" si="13"/>
        <v>1</v>
      </c>
      <c r="I433" s="6">
        <f t="shared" si="14"/>
        <v>7804.16</v>
      </c>
      <c r="L433" s="19"/>
      <c r="O433" s="2"/>
      <c r="P433" s="3"/>
      <c r="Q433" s="2"/>
      <c r="R433" s="2"/>
      <c r="S433" s="3"/>
      <c r="T433" s="3"/>
      <c r="U433" s="4"/>
      <c r="W433" s="6"/>
    </row>
    <row r="434" spans="1:23" ht="15" thickBot="1" x14ac:dyDescent="0.35">
      <c r="A434" s="2">
        <v>48</v>
      </c>
      <c r="B434" s="3" t="s">
        <v>14</v>
      </c>
      <c r="C434" s="2">
        <v>29.6</v>
      </c>
      <c r="D434" s="2">
        <v>0</v>
      </c>
      <c r="E434" s="3" t="s">
        <v>16</v>
      </c>
      <c r="F434" s="3" t="s">
        <v>8</v>
      </c>
      <c r="G434" s="4">
        <v>21232.18</v>
      </c>
      <c r="H434">
        <f t="shared" si="13"/>
        <v>1</v>
      </c>
      <c r="I434" s="6">
        <f t="shared" si="14"/>
        <v>21232.18</v>
      </c>
      <c r="L434" s="19"/>
      <c r="O434" s="2"/>
      <c r="P434" s="3"/>
      <c r="Q434" s="2"/>
      <c r="R434" s="2"/>
      <c r="S434" s="3"/>
      <c r="T434" s="3"/>
      <c r="U434" s="4"/>
      <c r="W434" s="6"/>
    </row>
    <row r="435" spans="1:23" ht="15" thickBot="1" x14ac:dyDescent="0.35">
      <c r="A435" s="2">
        <v>48</v>
      </c>
      <c r="B435" s="3" t="s">
        <v>15</v>
      </c>
      <c r="C435" s="2">
        <v>22.8</v>
      </c>
      <c r="D435" s="2">
        <v>0</v>
      </c>
      <c r="E435" s="3" t="s">
        <v>16</v>
      </c>
      <c r="F435" s="3" t="s">
        <v>8</v>
      </c>
      <c r="G435" s="4">
        <v>8269.0400000000009</v>
      </c>
      <c r="H435">
        <f t="shared" si="13"/>
        <v>1</v>
      </c>
      <c r="I435" s="6">
        <f t="shared" si="14"/>
        <v>8269.0400000000009</v>
      </c>
      <c r="L435" s="19"/>
      <c r="O435" s="2"/>
      <c r="P435" s="3"/>
      <c r="Q435" s="2"/>
      <c r="R435" s="2"/>
      <c r="S435" s="3"/>
      <c r="T435" s="3"/>
      <c r="U435" s="4"/>
      <c r="W435" s="6"/>
    </row>
    <row r="436" spans="1:23" ht="15" thickBot="1" x14ac:dyDescent="0.35">
      <c r="A436" s="2">
        <v>48</v>
      </c>
      <c r="B436" s="3" t="s">
        <v>14</v>
      </c>
      <c r="C436" s="2">
        <v>32.299999999999997</v>
      </c>
      <c r="D436" s="2">
        <v>1</v>
      </c>
      <c r="E436" s="3" t="s">
        <v>16</v>
      </c>
      <c r="F436" s="3" t="s">
        <v>7</v>
      </c>
      <c r="G436" s="4">
        <v>8765.25</v>
      </c>
      <c r="H436">
        <f t="shared" si="13"/>
        <v>2</v>
      </c>
      <c r="I436" s="6">
        <f t="shared" si="14"/>
        <v>4382.625</v>
      </c>
      <c r="L436" s="19"/>
      <c r="O436" s="2"/>
      <c r="P436" s="3"/>
      <c r="Q436" s="2"/>
      <c r="R436" s="2"/>
      <c r="S436" s="3"/>
      <c r="T436" s="3"/>
      <c r="U436" s="4"/>
      <c r="W436" s="6"/>
    </row>
    <row r="437" spans="1:23" ht="15" thickBot="1" x14ac:dyDescent="0.35">
      <c r="A437" s="2">
        <v>48</v>
      </c>
      <c r="B437" s="3" t="s">
        <v>15</v>
      </c>
      <c r="C437" s="2">
        <v>28.9</v>
      </c>
      <c r="D437" s="2">
        <v>0</v>
      </c>
      <c r="E437" s="3" t="s">
        <v>16</v>
      </c>
      <c r="F437" s="3" t="s">
        <v>8</v>
      </c>
      <c r="G437" s="4">
        <v>8277.52</v>
      </c>
      <c r="H437">
        <f t="shared" si="13"/>
        <v>1</v>
      </c>
      <c r="I437" s="6">
        <f t="shared" si="14"/>
        <v>8277.52</v>
      </c>
      <c r="L437" s="19"/>
      <c r="O437" s="2"/>
      <c r="P437" s="3"/>
      <c r="Q437" s="2"/>
      <c r="R437" s="2"/>
      <c r="S437" s="3"/>
      <c r="T437" s="3"/>
      <c r="U437" s="4"/>
      <c r="W437" s="6"/>
    </row>
    <row r="438" spans="1:23" ht="15" thickBot="1" x14ac:dyDescent="0.35">
      <c r="A438" s="2">
        <v>48</v>
      </c>
      <c r="B438" s="3" t="s">
        <v>14</v>
      </c>
      <c r="C438" s="2">
        <v>37.299999999999997</v>
      </c>
      <c r="D438" s="2">
        <v>2</v>
      </c>
      <c r="E438" s="3" t="s">
        <v>16</v>
      </c>
      <c r="F438" s="3" t="s">
        <v>10</v>
      </c>
      <c r="G438" s="4">
        <v>8978.19</v>
      </c>
      <c r="H438">
        <f t="shared" si="13"/>
        <v>3</v>
      </c>
      <c r="I438" s="6">
        <f t="shared" si="14"/>
        <v>2992.73</v>
      </c>
      <c r="L438" s="19"/>
      <c r="O438" s="2"/>
      <c r="P438" s="3"/>
      <c r="Q438" s="2"/>
      <c r="R438" s="2"/>
      <c r="S438" s="3"/>
      <c r="T438" s="3"/>
      <c r="U438" s="4"/>
      <c r="W438" s="6"/>
    </row>
    <row r="439" spans="1:23" ht="15" thickBot="1" x14ac:dyDescent="0.35">
      <c r="A439" s="2">
        <v>48</v>
      </c>
      <c r="B439" s="3" t="s">
        <v>15</v>
      </c>
      <c r="C439" s="2">
        <v>25.9</v>
      </c>
      <c r="D439" s="2">
        <v>3</v>
      </c>
      <c r="E439" s="3" t="s">
        <v>17</v>
      </c>
      <c r="F439" s="3" t="s">
        <v>10</v>
      </c>
      <c r="G439" s="4">
        <v>24180.93</v>
      </c>
      <c r="H439">
        <f t="shared" si="13"/>
        <v>4</v>
      </c>
      <c r="I439" s="6">
        <f t="shared" si="14"/>
        <v>6045.2325000000001</v>
      </c>
      <c r="L439" s="19"/>
      <c r="O439" s="2"/>
      <c r="P439" s="3"/>
      <c r="Q439" s="2"/>
      <c r="R439" s="2"/>
      <c r="S439" s="3"/>
      <c r="T439" s="3"/>
      <c r="U439" s="4"/>
      <c r="W439" s="6"/>
    </row>
    <row r="440" spans="1:23" ht="15" thickBot="1" x14ac:dyDescent="0.35">
      <c r="A440" s="2">
        <v>48</v>
      </c>
      <c r="B440" s="3" t="s">
        <v>15</v>
      </c>
      <c r="C440" s="2">
        <v>27.9</v>
      </c>
      <c r="D440" s="2">
        <v>4</v>
      </c>
      <c r="E440" s="3" t="s">
        <v>16</v>
      </c>
      <c r="F440" s="3" t="s">
        <v>7</v>
      </c>
      <c r="G440" s="4">
        <v>11015.17</v>
      </c>
      <c r="H440">
        <f t="shared" si="13"/>
        <v>5</v>
      </c>
      <c r="I440" s="6">
        <f t="shared" si="14"/>
        <v>2203.0340000000001</v>
      </c>
      <c r="L440" s="19"/>
      <c r="O440" s="2"/>
      <c r="P440" s="3"/>
      <c r="Q440" s="2"/>
      <c r="R440" s="2"/>
      <c r="S440" s="3"/>
      <c r="T440" s="3"/>
      <c r="U440" s="4"/>
      <c r="W440" s="6"/>
    </row>
    <row r="441" spans="1:23" ht="15" thickBot="1" x14ac:dyDescent="0.35">
      <c r="A441" s="2">
        <v>48</v>
      </c>
      <c r="B441" s="3" t="s">
        <v>15</v>
      </c>
      <c r="C441" s="2">
        <v>27.4</v>
      </c>
      <c r="D441" s="2">
        <v>1</v>
      </c>
      <c r="E441" s="3" t="s">
        <v>16</v>
      </c>
      <c r="F441" s="3" t="s">
        <v>9</v>
      </c>
      <c r="G441" s="4">
        <v>9447.3799999999992</v>
      </c>
      <c r="H441">
        <f t="shared" si="13"/>
        <v>2</v>
      </c>
      <c r="I441" s="6">
        <f t="shared" si="14"/>
        <v>4723.6899999999996</v>
      </c>
      <c r="L441" s="19"/>
      <c r="O441" s="2"/>
      <c r="P441" s="3"/>
      <c r="Q441" s="2"/>
      <c r="R441" s="2"/>
      <c r="S441" s="3"/>
      <c r="T441" s="3"/>
      <c r="U441" s="4"/>
      <c r="W441" s="6"/>
    </row>
    <row r="442" spans="1:23" ht="15" thickBot="1" x14ac:dyDescent="0.35">
      <c r="A442" s="2">
        <v>48</v>
      </c>
      <c r="B442" s="3" t="s">
        <v>15</v>
      </c>
      <c r="C442" s="2">
        <v>36.6</v>
      </c>
      <c r="D442" s="2">
        <v>0</v>
      </c>
      <c r="E442" s="3" t="s">
        <v>16</v>
      </c>
      <c r="F442" s="3" t="s">
        <v>7</v>
      </c>
      <c r="G442" s="4">
        <v>8671.19</v>
      </c>
      <c r="H442">
        <f t="shared" si="13"/>
        <v>1</v>
      </c>
      <c r="I442" s="6">
        <f t="shared" si="14"/>
        <v>8671.19</v>
      </c>
      <c r="L442" s="19"/>
      <c r="O442" s="2"/>
      <c r="P442" s="3"/>
      <c r="Q442" s="2"/>
      <c r="R442" s="2"/>
      <c r="S442" s="3"/>
      <c r="T442" s="3"/>
      <c r="U442" s="4"/>
      <c r="W442" s="6"/>
    </row>
    <row r="443" spans="1:23" ht="15" thickBot="1" x14ac:dyDescent="0.35">
      <c r="A443" s="2">
        <v>48</v>
      </c>
      <c r="B443" s="3" t="s">
        <v>15</v>
      </c>
      <c r="C443" s="2">
        <v>33.299999999999997</v>
      </c>
      <c r="D443" s="2">
        <v>0</v>
      </c>
      <c r="E443" s="3" t="s">
        <v>16</v>
      </c>
      <c r="F443" s="3" t="s">
        <v>10</v>
      </c>
      <c r="G443" s="4">
        <v>8283.68</v>
      </c>
      <c r="H443">
        <f t="shared" si="13"/>
        <v>1</v>
      </c>
      <c r="I443" s="6">
        <f t="shared" si="14"/>
        <v>8283.68</v>
      </c>
      <c r="L443" s="19"/>
      <c r="O443" s="2"/>
      <c r="P443" s="3"/>
      <c r="Q443" s="2"/>
      <c r="R443" s="2"/>
      <c r="S443" s="3"/>
      <c r="T443" s="3"/>
      <c r="U443" s="4"/>
      <c r="W443" s="6"/>
    </row>
    <row r="444" spans="1:23" ht="15" thickBot="1" x14ac:dyDescent="0.35">
      <c r="A444" s="2">
        <v>47</v>
      </c>
      <c r="B444" s="3" t="s">
        <v>15</v>
      </c>
      <c r="C444" s="2">
        <v>33.9</v>
      </c>
      <c r="D444" s="2">
        <v>3</v>
      </c>
      <c r="E444" s="3" t="s">
        <v>16</v>
      </c>
      <c r="F444" s="3" t="s">
        <v>7</v>
      </c>
      <c r="G444" s="4">
        <v>10115.01</v>
      </c>
      <c r="H444">
        <f t="shared" si="13"/>
        <v>4</v>
      </c>
      <c r="I444" s="6">
        <f t="shared" si="14"/>
        <v>2528.7525000000001</v>
      </c>
      <c r="L444" s="19"/>
      <c r="O444" s="2"/>
      <c r="P444" s="3"/>
      <c r="Q444" s="2"/>
      <c r="R444" s="2"/>
      <c r="S444" s="3"/>
      <c r="T444" s="3"/>
      <c r="U444" s="4"/>
      <c r="W444" s="6"/>
    </row>
    <row r="445" spans="1:23" ht="15" thickBot="1" x14ac:dyDescent="0.35">
      <c r="A445" s="2">
        <v>47</v>
      </c>
      <c r="B445" s="3" t="s">
        <v>14</v>
      </c>
      <c r="C445" s="2">
        <v>28.2</v>
      </c>
      <c r="D445" s="2">
        <v>4</v>
      </c>
      <c r="E445" s="3" t="s">
        <v>16</v>
      </c>
      <c r="F445" s="3" t="s">
        <v>9</v>
      </c>
      <c r="G445" s="4">
        <v>10407.09</v>
      </c>
      <c r="H445">
        <f t="shared" si="13"/>
        <v>5</v>
      </c>
      <c r="I445" s="6">
        <f t="shared" si="14"/>
        <v>2081.4180000000001</v>
      </c>
      <c r="L445" s="19"/>
      <c r="O445" s="2"/>
      <c r="P445" s="3"/>
      <c r="Q445" s="2"/>
      <c r="R445" s="2"/>
      <c r="S445" s="3"/>
      <c r="T445" s="3"/>
      <c r="U445" s="4"/>
      <c r="W445" s="6"/>
    </row>
    <row r="446" spans="1:23" ht="15" thickBot="1" x14ac:dyDescent="0.35">
      <c r="A446" s="2">
        <v>47</v>
      </c>
      <c r="B446" s="3" t="s">
        <v>14</v>
      </c>
      <c r="C446" s="2">
        <v>25.5</v>
      </c>
      <c r="D446" s="2">
        <v>2</v>
      </c>
      <c r="E446" s="3" t="s">
        <v>16</v>
      </c>
      <c r="F446" s="3" t="s">
        <v>9</v>
      </c>
      <c r="G446" s="4">
        <v>9225.26</v>
      </c>
      <c r="H446">
        <f t="shared" si="13"/>
        <v>3</v>
      </c>
      <c r="I446" s="6">
        <f t="shared" si="14"/>
        <v>3075.0866666666666</v>
      </c>
      <c r="L446" s="19"/>
      <c r="O446" s="2"/>
      <c r="P446" s="3"/>
      <c r="Q446" s="2"/>
      <c r="R446" s="2"/>
      <c r="S446" s="3"/>
      <c r="T446" s="3"/>
      <c r="U446" s="4"/>
      <c r="W446" s="6"/>
    </row>
    <row r="447" spans="1:23" ht="15" thickBot="1" x14ac:dyDescent="0.35">
      <c r="A447" s="2">
        <v>47</v>
      </c>
      <c r="B447" s="3" t="s">
        <v>15</v>
      </c>
      <c r="C447" s="2">
        <v>26.6</v>
      </c>
      <c r="D447" s="2">
        <v>2</v>
      </c>
      <c r="E447" s="3" t="s">
        <v>16</v>
      </c>
      <c r="F447" s="3" t="s">
        <v>9</v>
      </c>
      <c r="G447" s="4">
        <v>9715.84</v>
      </c>
      <c r="H447">
        <f t="shared" si="13"/>
        <v>3</v>
      </c>
      <c r="I447" s="6">
        <f t="shared" si="14"/>
        <v>3238.6133333333332</v>
      </c>
      <c r="L447" s="19"/>
      <c r="O447" s="2"/>
      <c r="P447" s="3"/>
      <c r="Q447" s="2"/>
      <c r="R447" s="2"/>
      <c r="S447" s="3"/>
      <c r="T447" s="3"/>
      <c r="U447" s="4"/>
      <c r="W447" s="6"/>
    </row>
    <row r="448" spans="1:23" ht="15" thickBot="1" x14ac:dyDescent="0.35">
      <c r="A448" s="2">
        <v>47</v>
      </c>
      <c r="B448" s="3" t="s">
        <v>14</v>
      </c>
      <c r="C448" s="2">
        <v>25.4</v>
      </c>
      <c r="D448" s="2">
        <v>1</v>
      </c>
      <c r="E448" s="3" t="s">
        <v>17</v>
      </c>
      <c r="F448" s="3" t="s">
        <v>10</v>
      </c>
      <c r="G448" s="4">
        <v>21978.68</v>
      </c>
      <c r="H448">
        <f t="shared" si="13"/>
        <v>2</v>
      </c>
      <c r="I448" s="6">
        <f t="shared" si="14"/>
        <v>10989.34</v>
      </c>
      <c r="L448" s="19"/>
      <c r="O448" s="2"/>
      <c r="P448" s="3"/>
      <c r="Q448" s="2"/>
      <c r="R448" s="2"/>
      <c r="S448" s="3"/>
      <c r="T448" s="3"/>
      <c r="U448" s="4"/>
      <c r="W448" s="6"/>
    </row>
    <row r="449" spans="1:23" ht="15" thickBot="1" x14ac:dyDescent="0.35">
      <c r="A449" s="2">
        <v>47</v>
      </c>
      <c r="B449" s="3" t="s">
        <v>14</v>
      </c>
      <c r="C449" s="2">
        <v>29.8</v>
      </c>
      <c r="D449" s="2">
        <v>3</v>
      </c>
      <c r="E449" s="3" t="s">
        <v>16</v>
      </c>
      <c r="F449" s="3" t="s">
        <v>7</v>
      </c>
      <c r="G449" s="4">
        <v>9620.33</v>
      </c>
      <c r="H449">
        <f t="shared" si="13"/>
        <v>4</v>
      </c>
      <c r="I449" s="6">
        <f t="shared" si="14"/>
        <v>2405.0825</v>
      </c>
      <c r="L449" s="19"/>
      <c r="O449" s="2"/>
      <c r="P449" s="3"/>
      <c r="Q449" s="2"/>
      <c r="R449" s="2"/>
      <c r="S449" s="3"/>
      <c r="T449" s="3"/>
      <c r="U449" s="4"/>
      <c r="W449" s="6"/>
    </row>
    <row r="450" spans="1:23" ht="15" thickBot="1" x14ac:dyDescent="0.35">
      <c r="A450" s="2">
        <v>47</v>
      </c>
      <c r="B450" s="3" t="s">
        <v>14</v>
      </c>
      <c r="C450" s="2">
        <v>47.5</v>
      </c>
      <c r="D450" s="2">
        <v>1</v>
      </c>
      <c r="E450" s="3" t="s">
        <v>16</v>
      </c>
      <c r="F450" s="3" t="s">
        <v>10</v>
      </c>
      <c r="G450" s="4">
        <v>8083.92</v>
      </c>
      <c r="H450">
        <f t="shared" si="13"/>
        <v>2</v>
      </c>
      <c r="I450" s="6">
        <f t="shared" si="14"/>
        <v>4041.96</v>
      </c>
      <c r="L450" s="19"/>
      <c r="O450" s="2"/>
      <c r="P450" s="3"/>
      <c r="Q450" s="2"/>
      <c r="R450" s="2"/>
      <c r="S450" s="3"/>
      <c r="T450" s="3"/>
      <c r="U450" s="4"/>
      <c r="W450" s="6"/>
    </row>
    <row r="451" spans="1:23" ht="15" thickBot="1" x14ac:dyDescent="0.35">
      <c r="A451" s="2">
        <v>47</v>
      </c>
      <c r="B451" s="3" t="s">
        <v>15</v>
      </c>
      <c r="C451" s="2">
        <v>23.6</v>
      </c>
      <c r="D451" s="2">
        <v>1</v>
      </c>
      <c r="E451" s="3" t="s">
        <v>16</v>
      </c>
      <c r="F451" s="3" t="s">
        <v>8</v>
      </c>
      <c r="G451" s="4">
        <v>8539.67</v>
      </c>
      <c r="H451">
        <f t="shared" ref="H451:H514" si="15">D451+1</f>
        <v>2</v>
      </c>
      <c r="I451" s="6">
        <f t="shared" ref="I451:I514" si="16">G451/H451</f>
        <v>4269.835</v>
      </c>
      <c r="L451" s="19"/>
      <c r="O451" s="2"/>
      <c r="P451" s="3"/>
      <c r="Q451" s="2"/>
      <c r="R451" s="2"/>
      <c r="S451" s="3"/>
      <c r="T451" s="3"/>
      <c r="U451" s="4"/>
      <c r="W451" s="6"/>
    </row>
    <row r="452" spans="1:23" ht="15" thickBot="1" x14ac:dyDescent="0.35">
      <c r="A452" s="2">
        <v>47</v>
      </c>
      <c r="B452" s="3" t="s">
        <v>15</v>
      </c>
      <c r="C452" s="2">
        <v>33.299999999999997</v>
      </c>
      <c r="D452" s="2">
        <v>0</v>
      </c>
      <c r="E452" s="3" t="s">
        <v>16</v>
      </c>
      <c r="F452" s="3" t="s">
        <v>9</v>
      </c>
      <c r="G452" s="4">
        <v>20878.78</v>
      </c>
      <c r="H452">
        <f t="shared" si="15"/>
        <v>1</v>
      </c>
      <c r="I452" s="6">
        <f t="shared" si="16"/>
        <v>20878.78</v>
      </c>
      <c r="L452" s="19"/>
      <c r="O452" s="2"/>
      <c r="P452" s="3"/>
      <c r="Q452" s="2"/>
      <c r="R452" s="2"/>
      <c r="S452" s="3"/>
      <c r="T452" s="3"/>
      <c r="U452" s="4"/>
      <c r="W452" s="6"/>
    </row>
    <row r="453" spans="1:23" ht="15" thickBot="1" x14ac:dyDescent="0.35">
      <c r="A453" s="2">
        <v>47</v>
      </c>
      <c r="B453" s="3" t="s">
        <v>14</v>
      </c>
      <c r="C453" s="2">
        <v>19.600000000000001</v>
      </c>
      <c r="D453" s="2">
        <v>1</v>
      </c>
      <c r="E453" s="3" t="s">
        <v>16</v>
      </c>
      <c r="F453" s="3" t="s">
        <v>7</v>
      </c>
      <c r="G453" s="4">
        <v>8428.07</v>
      </c>
      <c r="H453">
        <f t="shared" si="15"/>
        <v>2</v>
      </c>
      <c r="I453" s="6">
        <f t="shared" si="16"/>
        <v>4214.0349999999999</v>
      </c>
      <c r="L453" s="19"/>
      <c r="O453" s="2"/>
      <c r="P453" s="3"/>
      <c r="Q453" s="2"/>
      <c r="R453" s="2"/>
      <c r="S453" s="3"/>
      <c r="T453" s="3"/>
      <c r="U453" s="4"/>
      <c r="W453" s="6"/>
    </row>
    <row r="454" spans="1:23" ht="15" thickBot="1" x14ac:dyDescent="0.35">
      <c r="A454" s="2">
        <v>47</v>
      </c>
      <c r="B454" s="3" t="s">
        <v>15</v>
      </c>
      <c r="C454" s="2">
        <v>29.4</v>
      </c>
      <c r="D454" s="2">
        <v>1</v>
      </c>
      <c r="E454" s="3" t="s">
        <v>16</v>
      </c>
      <c r="F454" s="3" t="s">
        <v>10</v>
      </c>
      <c r="G454" s="4">
        <v>8547.69</v>
      </c>
      <c r="H454">
        <f t="shared" si="15"/>
        <v>2</v>
      </c>
      <c r="I454" s="6">
        <f t="shared" si="16"/>
        <v>4273.8450000000003</v>
      </c>
      <c r="L454" s="19"/>
      <c r="O454" s="2"/>
      <c r="P454" s="3"/>
      <c r="Q454" s="2"/>
      <c r="R454" s="2"/>
      <c r="S454" s="3"/>
      <c r="T454" s="3"/>
      <c r="U454" s="4"/>
      <c r="W454" s="6"/>
    </row>
    <row r="455" spans="1:23" ht="15" thickBot="1" x14ac:dyDescent="0.35">
      <c r="A455" s="2">
        <v>47</v>
      </c>
      <c r="B455" s="3" t="s">
        <v>15</v>
      </c>
      <c r="C455" s="2">
        <v>36.6</v>
      </c>
      <c r="D455" s="2">
        <v>1</v>
      </c>
      <c r="E455" s="3" t="s">
        <v>17</v>
      </c>
      <c r="F455" s="3" t="s">
        <v>10</v>
      </c>
      <c r="G455" s="4">
        <v>42969.85</v>
      </c>
      <c r="H455">
        <f t="shared" si="15"/>
        <v>2</v>
      </c>
      <c r="I455" s="6">
        <f t="shared" si="16"/>
        <v>21484.924999999999</v>
      </c>
      <c r="L455" s="19"/>
      <c r="O455" s="2"/>
      <c r="P455" s="3"/>
      <c r="Q455" s="2"/>
      <c r="R455" s="2"/>
      <c r="S455" s="3"/>
      <c r="T455" s="3"/>
      <c r="U455" s="4"/>
      <c r="W455" s="6"/>
    </row>
    <row r="456" spans="1:23" ht="15" thickBot="1" x14ac:dyDescent="0.35">
      <c r="A456" s="2">
        <v>47</v>
      </c>
      <c r="B456" s="3" t="s">
        <v>15</v>
      </c>
      <c r="C456" s="2">
        <v>24.1</v>
      </c>
      <c r="D456" s="2">
        <v>1</v>
      </c>
      <c r="E456" s="3" t="s">
        <v>16</v>
      </c>
      <c r="F456" s="3" t="s">
        <v>8</v>
      </c>
      <c r="G456" s="4">
        <v>26236.58</v>
      </c>
      <c r="H456">
        <f t="shared" si="15"/>
        <v>2</v>
      </c>
      <c r="I456" s="6">
        <f t="shared" si="16"/>
        <v>13118.29</v>
      </c>
      <c r="L456" s="19"/>
      <c r="O456" s="2"/>
      <c r="P456" s="3"/>
      <c r="Q456" s="2"/>
      <c r="R456" s="2"/>
      <c r="S456" s="3"/>
      <c r="T456" s="3"/>
      <c r="U456" s="4"/>
      <c r="W456" s="6"/>
    </row>
    <row r="457" spans="1:23" ht="15" thickBot="1" x14ac:dyDescent="0.35">
      <c r="A457" s="2">
        <v>47</v>
      </c>
      <c r="B457" s="3" t="s">
        <v>14</v>
      </c>
      <c r="C457" s="2">
        <v>36.200000000000003</v>
      </c>
      <c r="D457" s="2">
        <v>1</v>
      </c>
      <c r="E457" s="3" t="s">
        <v>16</v>
      </c>
      <c r="F457" s="3" t="s">
        <v>8</v>
      </c>
      <c r="G457" s="4">
        <v>8068.19</v>
      </c>
      <c r="H457">
        <f t="shared" si="15"/>
        <v>2</v>
      </c>
      <c r="I457" s="6">
        <f t="shared" si="16"/>
        <v>4034.0949999999998</v>
      </c>
      <c r="L457" s="19"/>
      <c r="O457" s="2"/>
      <c r="P457" s="3"/>
      <c r="Q457" s="2"/>
      <c r="R457" s="2"/>
      <c r="S457" s="3"/>
      <c r="T457" s="3"/>
      <c r="U457" s="4"/>
      <c r="W457" s="6"/>
    </row>
    <row r="458" spans="1:23" ht="15" thickBot="1" x14ac:dyDescent="0.35">
      <c r="A458" s="2">
        <v>47</v>
      </c>
      <c r="B458" s="3" t="s">
        <v>15</v>
      </c>
      <c r="C458" s="2">
        <v>29.5</v>
      </c>
      <c r="D458" s="2">
        <v>1</v>
      </c>
      <c r="E458" s="3" t="s">
        <v>16</v>
      </c>
      <c r="F458" s="3" t="s">
        <v>7</v>
      </c>
      <c r="G458" s="4">
        <v>8930.93</v>
      </c>
      <c r="H458">
        <f t="shared" si="15"/>
        <v>2</v>
      </c>
      <c r="I458" s="6">
        <f t="shared" si="16"/>
        <v>4465.4650000000001</v>
      </c>
      <c r="L458" s="19"/>
      <c r="O458" s="2"/>
      <c r="P458" s="3"/>
      <c r="Q458" s="2"/>
      <c r="R458" s="2"/>
      <c r="S458" s="3"/>
      <c r="T458" s="3"/>
      <c r="U458" s="4"/>
      <c r="W458" s="6"/>
    </row>
    <row r="459" spans="1:23" ht="15" thickBot="1" x14ac:dyDescent="0.35">
      <c r="A459" s="2">
        <v>47</v>
      </c>
      <c r="B459" s="3" t="s">
        <v>15</v>
      </c>
      <c r="C459" s="2">
        <v>36</v>
      </c>
      <c r="D459" s="2">
        <v>1</v>
      </c>
      <c r="E459" s="3" t="s">
        <v>16</v>
      </c>
      <c r="F459" s="3" t="s">
        <v>8</v>
      </c>
      <c r="G459" s="4">
        <v>8556.91</v>
      </c>
      <c r="H459">
        <f t="shared" si="15"/>
        <v>2</v>
      </c>
      <c r="I459" s="6">
        <f t="shared" si="16"/>
        <v>4278.4549999999999</v>
      </c>
      <c r="L459" s="19"/>
      <c r="O459" s="2"/>
      <c r="P459" s="3"/>
      <c r="Q459" s="2"/>
      <c r="R459" s="2"/>
      <c r="S459" s="3"/>
      <c r="T459" s="3"/>
      <c r="U459" s="4"/>
      <c r="W459" s="6"/>
    </row>
    <row r="460" spans="1:23" ht="15" thickBot="1" x14ac:dyDescent="0.35">
      <c r="A460" s="2">
        <v>47</v>
      </c>
      <c r="B460" s="3" t="s">
        <v>15</v>
      </c>
      <c r="C460" s="2">
        <v>27.8</v>
      </c>
      <c r="D460" s="2">
        <v>0</v>
      </c>
      <c r="E460" s="3" t="s">
        <v>17</v>
      </c>
      <c r="F460" s="3" t="s">
        <v>10</v>
      </c>
      <c r="G460" s="4">
        <v>23065.42</v>
      </c>
      <c r="H460">
        <f t="shared" si="15"/>
        <v>1</v>
      </c>
      <c r="I460" s="6">
        <f t="shared" si="16"/>
        <v>23065.42</v>
      </c>
      <c r="L460" s="19"/>
      <c r="O460" s="2"/>
      <c r="P460" s="3"/>
      <c r="Q460" s="2"/>
      <c r="R460" s="2"/>
      <c r="S460" s="3"/>
      <c r="T460" s="3"/>
      <c r="U460" s="4"/>
      <c r="W460" s="6"/>
    </row>
    <row r="461" spans="1:23" ht="15" thickBot="1" x14ac:dyDescent="0.35">
      <c r="A461" s="2">
        <v>47</v>
      </c>
      <c r="B461" s="3" t="s">
        <v>14</v>
      </c>
      <c r="C461" s="2">
        <v>32.299999999999997</v>
      </c>
      <c r="D461" s="2">
        <v>1</v>
      </c>
      <c r="E461" s="3" t="s">
        <v>16</v>
      </c>
      <c r="F461" s="3" t="s">
        <v>8</v>
      </c>
      <c r="G461" s="4">
        <v>8062.76</v>
      </c>
      <c r="H461">
        <f t="shared" si="15"/>
        <v>2</v>
      </c>
      <c r="I461" s="6">
        <f t="shared" si="16"/>
        <v>4031.38</v>
      </c>
      <c r="L461" s="19"/>
      <c r="O461" s="2"/>
      <c r="P461" s="3"/>
      <c r="Q461" s="2"/>
      <c r="R461" s="2"/>
      <c r="S461" s="3"/>
      <c r="T461" s="3"/>
      <c r="U461" s="4"/>
      <c r="W461" s="6"/>
    </row>
    <row r="462" spans="1:23" ht="15" thickBot="1" x14ac:dyDescent="0.35">
      <c r="A462" s="2">
        <v>47</v>
      </c>
      <c r="B462" s="3" t="s">
        <v>15</v>
      </c>
      <c r="C462" s="2">
        <v>26.1</v>
      </c>
      <c r="D462" s="2">
        <v>1</v>
      </c>
      <c r="E462" s="3" t="s">
        <v>17</v>
      </c>
      <c r="F462" s="3" t="s">
        <v>9</v>
      </c>
      <c r="G462" s="4">
        <v>23401.31</v>
      </c>
      <c r="H462">
        <f t="shared" si="15"/>
        <v>2</v>
      </c>
      <c r="I462" s="6">
        <f t="shared" si="16"/>
        <v>11700.655000000001</v>
      </c>
      <c r="L462" s="19"/>
      <c r="O462" s="2"/>
      <c r="P462" s="3"/>
      <c r="Q462" s="2"/>
      <c r="R462" s="2"/>
      <c r="S462" s="3"/>
      <c r="T462" s="3"/>
      <c r="U462" s="4"/>
      <c r="W462" s="6"/>
    </row>
    <row r="463" spans="1:23" ht="15" thickBot="1" x14ac:dyDescent="0.35">
      <c r="A463" s="2">
        <v>47</v>
      </c>
      <c r="B463" s="3" t="s">
        <v>14</v>
      </c>
      <c r="C463" s="2">
        <v>38.9</v>
      </c>
      <c r="D463" s="2">
        <v>2</v>
      </c>
      <c r="E463" s="3" t="s">
        <v>17</v>
      </c>
      <c r="F463" s="3" t="s">
        <v>10</v>
      </c>
      <c r="G463" s="4">
        <v>44202.65</v>
      </c>
      <c r="H463">
        <f t="shared" si="15"/>
        <v>3</v>
      </c>
      <c r="I463" s="6">
        <f t="shared" si="16"/>
        <v>14734.216666666667</v>
      </c>
      <c r="L463" s="19"/>
      <c r="O463" s="2"/>
      <c r="P463" s="3"/>
      <c r="Q463" s="2"/>
      <c r="R463" s="2"/>
      <c r="S463" s="3"/>
      <c r="T463" s="3"/>
      <c r="U463" s="4"/>
      <c r="W463" s="6"/>
    </row>
    <row r="464" spans="1:23" ht="15" thickBot="1" x14ac:dyDescent="0.35">
      <c r="A464" s="2">
        <v>47</v>
      </c>
      <c r="B464" s="3" t="s">
        <v>14</v>
      </c>
      <c r="C464" s="2">
        <v>19.2</v>
      </c>
      <c r="D464" s="2">
        <v>1</v>
      </c>
      <c r="E464" s="3" t="s">
        <v>16</v>
      </c>
      <c r="F464" s="3" t="s">
        <v>9</v>
      </c>
      <c r="G464" s="4">
        <v>8627.5400000000009</v>
      </c>
      <c r="H464">
        <f t="shared" si="15"/>
        <v>2</v>
      </c>
      <c r="I464" s="6">
        <f t="shared" si="16"/>
        <v>4313.7700000000004</v>
      </c>
      <c r="L464" s="19"/>
      <c r="O464" s="2"/>
      <c r="P464" s="3"/>
      <c r="Q464" s="2"/>
      <c r="R464" s="2"/>
      <c r="S464" s="3"/>
      <c r="T464" s="3"/>
      <c r="U464" s="4"/>
      <c r="W464" s="6"/>
    </row>
    <row r="465" spans="1:23" ht="15" thickBot="1" x14ac:dyDescent="0.35">
      <c r="A465" s="2">
        <v>47</v>
      </c>
      <c r="B465" s="3" t="s">
        <v>14</v>
      </c>
      <c r="C465" s="2">
        <v>28.2</v>
      </c>
      <c r="D465" s="2">
        <v>3</v>
      </c>
      <c r="E465" s="3" t="s">
        <v>17</v>
      </c>
      <c r="F465" s="3" t="s">
        <v>7</v>
      </c>
      <c r="G465" s="4">
        <v>24915.22</v>
      </c>
      <c r="H465">
        <f t="shared" si="15"/>
        <v>4</v>
      </c>
      <c r="I465" s="6">
        <f t="shared" si="16"/>
        <v>6228.8050000000003</v>
      </c>
      <c r="L465" s="19"/>
      <c r="O465" s="2"/>
      <c r="P465" s="3"/>
      <c r="Q465" s="2"/>
      <c r="R465" s="2"/>
      <c r="S465" s="3"/>
      <c r="T465" s="3"/>
      <c r="U465" s="4"/>
      <c r="W465" s="6"/>
    </row>
    <row r="466" spans="1:23" ht="15" thickBot="1" x14ac:dyDescent="0.35">
      <c r="A466" s="2">
        <v>47</v>
      </c>
      <c r="B466" s="3" t="s">
        <v>14</v>
      </c>
      <c r="C466" s="2">
        <v>36.1</v>
      </c>
      <c r="D466" s="2">
        <v>1</v>
      </c>
      <c r="E466" s="3" t="s">
        <v>17</v>
      </c>
      <c r="F466" s="3" t="s">
        <v>10</v>
      </c>
      <c r="G466" s="4">
        <v>42211.14</v>
      </c>
      <c r="H466">
        <f t="shared" si="15"/>
        <v>2</v>
      </c>
      <c r="I466" s="6">
        <f t="shared" si="16"/>
        <v>21105.57</v>
      </c>
      <c r="L466" s="19"/>
      <c r="O466" s="2"/>
      <c r="P466" s="3"/>
      <c r="Q466" s="2"/>
      <c r="R466" s="2"/>
      <c r="S466" s="3"/>
      <c r="T466" s="3"/>
      <c r="U466" s="4"/>
      <c r="W466" s="6"/>
    </row>
    <row r="467" spans="1:23" ht="15" thickBot="1" x14ac:dyDescent="0.35">
      <c r="A467" s="2">
        <v>47</v>
      </c>
      <c r="B467" s="3" t="s">
        <v>15</v>
      </c>
      <c r="C467" s="2">
        <v>45.3</v>
      </c>
      <c r="D467" s="2">
        <v>1</v>
      </c>
      <c r="E467" s="3" t="s">
        <v>16</v>
      </c>
      <c r="F467" s="3" t="s">
        <v>10</v>
      </c>
      <c r="G467" s="4">
        <v>8569.86</v>
      </c>
      <c r="H467">
        <f t="shared" si="15"/>
        <v>2</v>
      </c>
      <c r="I467" s="6">
        <f t="shared" si="16"/>
        <v>4284.93</v>
      </c>
      <c r="L467" s="19"/>
      <c r="O467" s="2"/>
      <c r="P467" s="3"/>
      <c r="Q467" s="2"/>
      <c r="R467" s="2"/>
      <c r="S467" s="3"/>
      <c r="T467" s="3"/>
      <c r="U467" s="4"/>
      <c r="W467" s="6"/>
    </row>
    <row r="468" spans="1:23" ht="15" thickBot="1" x14ac:dyDescent="0.35">
      <c r="A468" s="2">
        <v>47</v>
      </c>
      <c r="B468" s="3" t="s">
        <v>14</v>
      </c>
      <c r="C468" s="2">
        <v>29.8</v>
      </c>
      <c r="D468" s="2">
        <v>3</v>
      </c>
      <c r="E468" s="3" t="s">
        <v>17</v>
      </c>
      <c r="F468" s="3" t="s">
        <v>8</v>
      </c>
      <c r="G468" s="4">
        <v>25309.49</v>
      </c>
      <c r="H468">
        <f t="shared" si="15"/>
        <v>4</v>
      </c>
      <c r="I468" s="6">
        <f t="shared" si="16"/>
        <v>6327.3725000000004</v>
      </c>
      <c r="L468" s="19"/>
      <c r="O468" s="2"/>
      <c r="P468" s="3"/>
      <c r="Q468" s="2"/>
      <c r="R468" s="2"/>
      <c r="S468" s="3"/>
      <c r="T468" s="3"/>
      <c r="U468" s="4"/>
      <c r="W468" s="6"/>
    </row>
    <row r="469" spans="1:23" ht="15" thickBot="1" x14ac:dyDescent="0.35">
      <c r="A469" s="2">
        <v>47</v>
      </c>
      <c r="B469" s="3" t="s">
        <v>15</v>
      </c>
      <c r="C469" s="2">
        <v>32</v>
      </c>
      <c r="D469" s="2">
        <v>1</v>
      </c>
      <c r="E469" s="3" t="s">
        <v>16</v>
      </c>
      <c r="F469" s="3" t="s">
        <v>8</v>
      </c>
      <c r="G469" s="4">
        <v>8551.35</v>
      </c>
      <c r="H469">
        <f t="shared" si="15"/>
        <v>2</v>
      </c>
      <c r="I469" s="6">
        <f t="shared" si="16"/>
        <v>4275.6750000000002</v>
      </c>
      <c r="L469" s="19"/>
      <c r="O469" s="2"/>
      <c r="P469" s="3"/>
      <c r="Q469" s="2"/>
      <c r="R469" s="2"/>
      <c r="S469" s="3"/>
      <c r="T469" s="3"/>
      <c r="U469" s="4"/>
      <c r="W469" s="6"/>
    </row>
    <row r="470" spans="1:23" ht="15" thickBot="1" x14ac:dyDescent="0.35">
      <c r="A470" s="2">
        <v>47</v>
      </c>
      <c r="B470" s="3" t="s">
        <v>14</v>
      </c>
      <c r="C470" s="2">
        <v>36.200000000000003</v>
      </c>
      <c r="D470" s="2">
        <v>0</v>
      </c>
      <c r="E470" s="3" t="s">
        <v>17</v>
      </c>
      <c r="F470" s="3" t="s">
        <v>10</v>
      </c>
      <c r="G470" s="4">
        <v>41676.080000000002</v>
      </c>
      <c r="H470">
        <f t="shared" si="15"/>
        <v>1</v>
      </c>
      <c r="I470" s="6">
        <f t="shared" si="16"/>
        <v>41676.080000000002</v>
      </c>
      <c r="L470" s="19"/>
      <c r="O470" s="2"/>
      <c r="P470" s="3"/>
      <c r="Q470" s="2"/>
      <c r="R470" s="2"/>
      <c r="S470" s="3"/>
      <c r="T470" s="3"/>
      <c r="U470" s="4"/>
      <c r="W470" s="6"/>
    </row>
    <row r="471" spans="1:23" ht="15" thickBot="1" x14ac:dyDescent="0.35">
      <c r="A471" s="2">
        <v>47</v>
      </c>
      <c r="B471" s="3" t="s">
        <v>15</v>
      </c>
      <c r="C471" s="2">
        <v>27.6</v>
      </c>
      <c r="D471" s="2">
        <v>2</v>
      </c>
      <c r="E471" s="3" t="s">
        <v>17</v>
      </c>
      <c r="F471" s="3" t="s">
        <v>7</v>
      </c>
      <c r="G471" s="4">
        <v>24535.7</v>
      </c>
      <c r="H471">
        <f t="shared" si="15"/>
        <v>3</v>
      </c>
      <c r="I471" s="6">
        <f t="shared" si="16"/>
        <v>8178.5666666666666</v>
      </c>
      <c r="L471" s="19"/>
      <c r="O471" s="2"/>
      <c r="P471" s="3"/>
      <c r="Q471" s="2"/>
      <c r="R471" s="2"/>
      <c r="S471" s="3"/>
      <c r="T471" s="3"/>
      <c r="U471" s="4"/>
      <c r="W471" s="6"/>
    </row>
    <row r="472" spans="1:23" ht="15" thickBot="1" x14ac:dyDescent="0.35">
      <c r="A472" s="2">
        <v>47</v>
      </c>
      <c r="B472" s="3" t="s">
        <v>15</v>
      </c>
      <c r="C472" s="2">
        <v>24.3</v>
      </c>
      <c r="D472" s="2">
        <v>0</v>
      </c>
      <c r="E472" s="3" t="s">
        <v>16</v>
      </c>
      <c r="F472" s="3" t="s">
        <v>9</v>
      </c>
      <c r="G472" s="4">
        <v>8534.67</v>
      </c>
      <c r="H472">
        <f t="shared" si="15"/>
        <v>1</v>
      </c>
      <c r="I472" s="6">
        <f t="shared" si="16"/>
        <v>8534.67</v>
      </c>
      <c r="L472" s="19"/>
      <c r="O472" s="2"/>
      <c r="P472" s="3"/>
      <c r="Q472" s="2"/>
      <c r="R472" s="2"/>
      <c r="S472" s="3"/>
      <c r="T472" s="3"/>
      <c r="U472" s="4"/>
      <c r="W472" s="6"/>
    </row>
    <row r="473" spans="1:23" ht="15" thickBot="1" x14ac:dyDescent="0.35">
      <c r="A473" s="2">
        <v>46</v>
      </c>
      <c r="B473" s="3" t="s">
        <v>15</v>
      </c>
      <c r="C473" s="2">
        <v>33.4</v>
      </c>
      <c r="D473" s="2">
        <v>1</v>
      </c>
      <c r="E473" s="3" t="s">
        <v>16</v>
      </c>
      <c r="F473" s="3" t="s">
        <v>10</v>
      </c>
      <c r="G473" s="4">
        <v>8240.59</v>
      </c>
      <c r="H473">
        <f t="shared" si="15"/>
        <v>2</v>
      </c>
      <c r="I473" s="6">
        <f t="shared" si="16"/>
        <v>4120.2950000000001</v>
      </c>
      <c r="L473" s="19"/>
      <c r="O473" s="2"/>
      <c r="P473" s="3"/>
      <c r="Q473" s="2"/>
      <c r="R473" s="2"/>
      <c r="S473" s="3"/>
      <c r="T473" s="3"/>
      <c r="U473" s="4"/>
      <c r="W473" s="6"/>
    </row>
    <row r="474" spans="1:23" ht="15" thickBot="1" x14ac:dyDescent="0.35">
      <c r="A474" s="2">
        <v>46</v>
      </c>
      <c r="B474" s="3" t="s">
        <v>15</v>
      </c>
      <c r="C474" s="2">
        <v>27.7</v>
      </c>
      <c r="D474" s="2">
        <v>0</v>
      </c>
      <c r="E474" s="3" t="s">
        <v>16</v>
      </c>
      <c r="F474" s="3" t="s">
        <v>7</v>
      </c>
      <c r="G474" s="4">
        <v>8026.67</v>
      </c>
      <c r="H474">
        <f t="shared" si="15"/>
        <v>1</v>
      </c>
      <c r="I474" s="6">
        <f t="shared" si="16"/>
        <v>8026.67</v>
      </c>
      <c r="L474" s="19"/>
      <c r="O474" s="2"/>
      <c r="P474" s="3"/>
      <c r="Q474" s="2"/>
      <c r="R474" s="2"/>
      <c r="S474" s="3"/>
      <c r="T474" s="3"/>
      <c r="U474" s="4"/>
      <c r="W474" s="6"/>
    </row>
    <row r="475" spans="1:23" ht="15" thickBot="1" x14ac:dyDescent="0.35">
      <c r="A475" s="2">
        <v>46</v>
      </c>
      <c r="B475" s="3" t="s">
        <v>14</v>
      </c>
      <c r="C475" s="2">
        <v>30.5</v>
      </c>
      <c r="D475" s="2">
        <v>3</v>
      </c>
      <c r="E475" s="3" t="s">
        <v>17</v>
      </c>
      <c r="F475" s="3" t="s">
        <v>7</v>
      </c>
      <c r="G475" s="4">
        <v>40720.550000000003</v>
      </c>
      <c r="H475">
        <f t="shared" si="15"/>
        <v>4</v>
      </c>
      <c r="I475" s="6">
        <f t="shared" si="16"/>
        <v>10180.137500000001</v>
      </c>
      <c r="L475" s="19"/>
      <c r="O475" s="2"/>
      <c r="P475" s="3"/>
      <c r="Q475" s="2"/>
      <c r="R475" s="2"/>
      <c r="S475" s="3"/>
      <c r="T475" s="3"/>
      <c r="U475" s="4"/>
      <c r="W475" s="6"/>
    </row>
    <row r="476" spans="1:23" ht="15" thickBot="1" x14ac:dyDescent="0.35">
      <c r="A476" s="2">
        <v>46</v>
      </c>
      <c r="B476" s="3" t="s">
        <v>15</v>
      </c>
      <c r="C476" s="2">
        <v>28.9</v>
      </c>
      <c r="D476" s="2">
        <v>2</v>
      </c>
      <c r="E476" s="3" t="s">
        <v>16</v>
      </c>
      <c r="F476" s="3" t="s">
        <v>8</v>
      </c>
      <c r="G476" s="4">
        <v>8823.2800000000007</v>
      </c>
      <c r="H476">
        <f t="shared" si="15"/>
        <v>3</v>
      </c>
      <c r="I476" s="6">
        <f t="shared" si="16"/>
        <v>2941.0933333333337</v>
      </c>
      <c r="L476" s="19"/>
      <c r="O476" s="2"/>
      <c r="P476" s="3"/>
      <c r="Q476" s="2"/>
      <c r="R476" s="2"/>
      <c r="S476" s="3"/>
      <c r="T476" s="3"/>
      <c r="U476" s="4"/>
      <c r="W476" s="6"/>
    </row>
    <row r="477" spans="1:23" ht="15" thickBot="1" x14ac:dyDescent="0.35">
      <c r="A477" s="2">
        <v>46</v>
      </c>
      <c r="B477" s="3" t="s">
        <v>14</v>
      </c>
      <c r="C477" s="2">
        <v>22.3</v>
      </c>
      <c r="D477" s="2">
        <v>0</v>
      </c>
      <c r="E477" s="3" t="s">
        <v>16</v>
      </c>
      <c r="F477" s="3" t="s">
        <v>8</v>
      </c>
      <c r="G477" s="4">
        <v>7147.11</v>
      </c>
      <c r="H477">
        <f t="shared" si="15"/>
        <v>1</v>
      </c>
      <c r="I477" s="6">
        <f t="shared" si="16"/>
        <v>7147.11</v>
      </c>
      <c r="L477" s="19"/>
      <c r="O477" s="2"/>
      <c r="P477" s="3"/>
      <c r="Q477" s="2"/>
      <c r="R477" s="2"/>
      <c r="S477" s="3"/>
      <c r="T477" s="3"/>
      <c r="U477" s="4"/>
      <c r="W477" s="6"/>
    </row>
    <row r="478" spans="1:23" ht="15" thickBot="1" x14ac:dyDescent="0.35">
      <c r="A478" s="2">
        <v>46</v>
      </c>
      <c r="B478" s="3" t="s">
        <v>14</v>
      </c>
      <c r="C478" s="2">
        <v>42.4</v>
      </c>
      <c r="D478" s="2">
        <v>3</v>
      </c>
      <c r="E478" s="3" t="s">
        <v>17</v>
      </c>
      <c r="F478" s="3" t="s">
        <v>10</v>
      </c>
      <c r="G478" s="4">
        <v>46151.12</v>
      </c>
      <c r="H478">
        <f t="shared" si="15"/>
        <v>4</v>
      </c>
      <c r="I478" s="6">
        <f t="shared" si="16"/>
        <v>11537.78</v>
      </c>
      <c r="L478" s="19"/>
      <c r="O478" s="2"/>
      <c r="P478" s="3"/>
      <c r="Q478" s="2"/>
      <c r="R478" s="2"/>
      <c r="S478" s="3"/>
      <c r="T478" s="3"/>
      <c r="U478" s="4"/>
      <c r="W478" s="6"/>
    </row>
    <row r="479" spans="1:23" ht="15" thickBot="1" x14ac:dyDescent="0.35">
      <c r="A479" s="2">
        <v>46</v>
      </c>
      <c r="B479" s="3" t="s">
        <v>14</v>
      </c>
      <c r="C479" s="2">
        <v>26.6</v>
      </c>
      <c r="D479" s="2">
        <v>1</v>
      </c>
      <c r="E479" s="3" t="s">
        <v>16</v>
      </c>
      <c r="F479" s="3" t="s">
        <v>10</v>
      </c>
      <c r="G479" s="4">
        <v>7742.11</v>
      </c>
      <c r="H479">
        <f t="shared" si="15"/>
        <v>2</v>
      </c>
      <c r="I479" s="6">
        <f t="shared" si="16"/>
        <v>3871.0549999999998</v>
      </c>
      <c r="L479" s="19"/>
      <c r="O479" s="2"/>
      <c r="P479" s="3"/>
      <c r="Q479" s="2"/>
      <c r="R479" s="2"/>
      <c r="S479" s="3"/>
      <c r="T479" s="3"/>
      <c r="U479" s="4"/>
      <c r="W479" s="6"/>
    </row>
    <row r="480" spans="1:23" ht="15" thickBot="1" x14ac:dyDescent="0.35">
      <c r="A480" s="2">
        <v>46</v>
      </c>
      <c r="B480" s="3" t="s">
        <v>15</v>
      </c>
      <c r="C480" s="2">
        <v>48.1</v>
      </c>
      <c r="D480" s="2">
        <v>2</v>
      </c>
      <c r="E480" s="3" t="s">
        <v>16</v>
      </c>
      <c r="F480" s="3" t="s">
        <v>9</v>
      </c>
      <c r="G480" s="4">
        <v>9432.93</v>
      </c>
      <c r="H480">
        <f t="shared" si="15"/>
        <v>3</v>
      </c>
      <c r="I480" s="6">
        <f t="shared" si="16"/>
        <v>3144.31</v>
      </c>
      <c r="L480" s="19"/>
      <c r="O480" s="2"/>
      <c r="P480" s="3"/>
      <c r="Q480" s="2"/>
      <c r="R480" s="2"/>
      <c r="S480" s="3"/>
      <c r="T480" s="3"/>
      <c r="U480" s="4"/>
      <c r="W480" s="6"/>
    </row>
    <row r="481" spans="1:23" ht="15" thickBot="1" x14ac:dyDescent="0.35">
      <c r="A481" s="2">
        <v>46</v>
      </c>
      <c r="B481" s="3" t="s">
        <v>15</v>
      </c>
      <c r="C481" s="2">
        <v>27.7</v>
      </c>
      <c r="D481" s="2">
        <v>1</v>
      </c>
      <c r="E481" s="3" t="s">
        <v>16</v>
      </c>
      <c r="F481" s="3" t="s">
        <v>10</v>
      </c>
      <c r="G481" s="4">
        <v>8232.64</v>
      </c>
      <c r="H481">
        <f t="shared" si="15"/>
        <v>2</v>
      </c>
      <c r="I481" s="6">
        <f t="shared" si="16"/>
        <v>4116.32</v>
      </c>
      <c r="L481" s="19"/>
      <c r="O481" s="2"/>
      <c r="P481" s="3"/>
      <c r="Q481" s="2"/>
      <c r="R481" s="2"/>
      <c r="S481" s="3"/>
      <c r="T481" s="3"/>
      <c r="U481" s="4"/>
      <c r="W481" s="6"/>
    </row>
    <row r="482" spans="1:23" ht="15" thickBot="1" x14ac:dyDescent="0.35">
      <c r="A482" s="2">
        <v>46</v>
      </c>
      <c r="B482" s="3" t="s">
        <v>14</v>
      </c>
      <c r="C482" s="2">
        <v>33.299999999999997</v>
      </c>
      <c r="D482" s="2">
        <v>1</v>
      </c>
      <c r="E482" s="3" t="s">
        <v>16</v>
      </c>
      <c r="F482" s="3" t="s">
        <v>9</v>
      </c>
      <c r="G482" s="4">
        <v>8334.4599999999991</v>
      </c>
      <c r="H482">
        <f t="shared" si="15"/>
        <v>2</v>
      </c>
      <c r="I482" s="6">
        <f t="shared" si="16"/>
        <v>4167.2299999999996</v>
      </c>
      <c r="L482" s="19"/>
      <c r="O482" s="2"/>
      <c r="P482" s="3"/>
      <c r="Q482" s="2"/>
      <c r="R482" s="2"/>
      <c r="S482" s="3"/>
      <c r="T482" s="3"/>
      <c r="U482" s="4"/>
      <c r="W482" s="6"/>
    </row>
    <row r="483" spans="1:23" ht="15" thickBot="1" x14ac:dyDescent="0.35">
      <c r="A483" s="2">
        <v>46</v>
      </c>
      <c r="B483" s="3" t="s">
        <v>14</v>
      </c>
      <c r="C483" s="2">
        <v>27.6</v>
      </c>
      <c r="D483" s="2">
        <v>0</v>
      </c>
      <c r="E483" s="3" t="s">
        <v>16</v>
      </c>
      <c r="F483" s="3" t="s">
        <v>8</v>
      </c>
      <c r="G483" s="4">
        <v>24603.05</v>
      </c>
      <c r="H483">
        <f t="shared" si="15"/>
        <v>1</v>
      </c>
      <c r="I483" s="6">
        <f t="shared" si="16"/>
        <v>24603.05</v>
      </c>
      <c r="L483" s="19"/>
      <c r="O483" s="2"/>
      <c r="P483" s="3"/>
      <c r="Q483" s="2"/>
      <c r="R483" s="2"/>
      <c r="S483" s="3"/>
      <c r="T483" s="3"/>
      <c r="U483" s="4"/>
      <c r="W483" s="6"/>
    </row>
    <row r="484" spans="1:23" ht="15" thickBot="1" x14ac:dyDescent="0.35">
      <c r="A484" s="2">
        <v>46</v>
      </c>
      <c r="B484" s="3" t="s">
        <v>14</v>
      </c>
      <c r="C484" s="2">
        <v>43.9</v>
      </c>
      <c r="D484" s="2">
        <v>3</v>
      </c>
      <c r="E484" s="3" t="s">
        <v>16</v>
      </c>
      <c r="F484" s="3" t="s">
        <v>10</v>
      </c>
      <c r="G484" s="4">
        <v>8944.1200000000008</v>
      </c>
      <c r="H484">
        <f t="shared" si="15"/>
        <v>4</v>
      </c>
      <c r="I484" s="6">
        <f t="shared" si="16"/>
        <v>2236.0300000000002</v>
      </c>
      <c r="L484" s="19"/>
      <c r="O484" s="2"/>
      <c r="P484" s="3"/>
      <c r="Q484" s="2"/>
      <c r="R484" s="2"/>
      <c r="S484" s="3"/>
      <c r="T484" s="3"/>
      <c r="U484" s="4"/>
      <c r="W484" s="6"/>
    </row>
    <row r="485" spans="1:23" ht="15" thickBot="1" x14ac:dyDescent="0.35">
      <c r="A485" s="2">
        <v>46</v>
      </c>
      <c r="B485" s="3" t="s">
        <v>15</v>
      </c>
      <c r="C485" s="2">
        <v>32.299999999999997</v>
      </c>
      <c r="D485" s="2">
        <v>2</v>
      </c>
      <c r="E485" s="3" t="s">
        <v>16</v>
      </c>
      <c r="F485" s="3" t="s">
        <v>9</v>
      </c>
      <c r="G485" s="4">
        <v>9411.01</v>
      </c>
      <c r="H485">
        <f t="shared" si="15"/>
        <v>3</v>
      </c>
      <c r="I485" s="6">
        <f t="shared" si="16"/>
        <v>3137.0033333333336</v>
      </c>
      <c r="L485" s="19"/>
      <c r="O485" s="2"/>
      <c r="P485" s="3"/>
      <c r="Q485" s="2"/>
      <c r="R485" s="2"/>
      <c r="S485" s="3"/>
      <c r="T485" s="3"/>
      <c r="U485" s="4"/>
      <c r="W485" s="6"/>
    </row>
    <row r="486" spans="1:23" ht="15" thickBot="1" x14ac:dyDescent="0.35">
      <c r="A486" s="2">
        <v>46</v>
      </c>
      <c r="B486" s="3" t="s">
        <v>14</v>
      </c>
      <c r="C486" s="2">
        <v>19.899999999999999</v>
      </c>
      <c r="D486" s="2">
        <v>0</v>
      </c>
      <c r="E486" s="3" t="s">
        <v>16</v>
      </c>
      <c r="F486" s="3" t="s">
        <v>7</v>
      </c>
      <c r="G486" s="4">
        <v>7526.71</v>
      </c>
      <c r="H486">
        <f t="shared" si="15"/>
        <v>1</v>
      </c>
      <c r="I486" s="6">
        <f t="shared" si="16"/>
        <v>7526.71</v>
      </c>
      <c r="L486" s="19"/>
      <c r="O486" s="2"/>
      <c r="P486" s="3"/>
      <c r="Q486" s="2"/>
      <c r="R486" s="2"/>
      <c r="S486" s="3"/>
      <c r="T486" s="3"/>
      <c r="U486" s="4"/>
      <c r="W486" s="6"/>
    </row>
    <row r="487" spans="1:23" ht="15" thickBot="1" x14ac:dyDescent="0.35">
      <c r="A487" s="2">
        <v>46</v>
      </c>
      <c r="B487" s="3" t="s">
        <v>14</v>
      </c>
      <c r="C487" s="2">
        <v>39.4</v>
      </c>
      <c r="D487" s="2">
        <v>1</v>
      </c>
      <c r="E487" s="3" t="s">
        <v>16</v>
      </c>
      <c r="F487" s="3" t="s">
        <v>9</v>
      </c>
      <c r="G487" s="4">
        <v>8342.91</v>
      </c>
      <c r="H487">
        <f t="shared" si="15"/>
        <v>2</v>
      </c>
      <c r="I487" s="6">
        <f t="shared" si="16"/>
        <v>4171.4549999999999</v>
      </c>
      <c r="L487" s="19"/>
      <c r="O487" s="2"/>
      <c r="P487" s="3"/>
      <c r="Q487" s="2"/>
      <c r="R487" s="2"/>
      <c r="S487" s="3"/>
      <c r="T487" s="3"/>
      <c r="U487" s="4"/>
      <c r="W487" s="6"/>
    </row>
    <row r="488" spans="1:23" ht="15" thickBot="1" x14ac:dyDescent="0.35">
      <c r="A488" s="2">
        <v>46</v>
      </c>
      <c r="B488" s="3" t="s">
        <v>15</v>
      </c>
      <c r="C488" s="2">
        <v>30.2</v>
      </c>
      <c r="D488" s="2">
        <v>2</v>
      </c>
      <c r="E488" s="3" t="s">
        <v>16</v>
      </c>
      <c r="F488" s="3" t="s">
        <v>8</v>
      </c>
      <c r="G488" s="4">
        <v>8825.09</v>
      </c>
      <c r="H488">
        <f t="shared" si="15"/>
        <v>3</v>
      </c>
      <c r="I488" s="6">
        <f t="shared" si="16"/>
        <v>2941.6966666666667</v>
      </c>
      <c r="L488" s="19"/>
      <c r="O488" s="2"/>
      <c r="P488" s="3"/>
      <c r="Q488" s="2"/>
      <c r="R488" s="2"/>
      <c r="S488" s="3"/>
      <c r="T488" s="3"/>
      <c r="U488" s="4"/>
      <c r="W488" s="6"/>
    </row>
    <row r="489" spans="1:23" ht="15" thickBot="1" x14ac:dyDescent="0.35">
      <c r="A489" s="2">
        <v>46</v>
      </c>
      <c r="B489" s="3" t="s">
        <v>15</v>
      </c>
      <c r="C489" s="2">
        <v>28.1</v>
      </c>
      <c r="D489" s="2">
        <v>1</v>
      </c>
      <c r="E489" s="3" t="s">
        <v>16</v>
      </c>
      <c r="F489" s="3" t="s">
        <v>10</v>
      </c>
      <c r="G489" s="4">
        <v>8233.1</v>
      </c>
      <c r="H489">
        <f t="shared" si="15"/>
        <v>2</v>
      </c>
      <c r="I489" s="6">
        <f t="shared" si="16"/>
        <v>4116.55</v>
      </c>
      <c r="L489" s="19"/>
      <c r="O489" s="2"/>
      <c r="P489" s="3"/>
      <c r="Q489" s="2"/>
      <c r="R489" s="2"/>
      <c r="S489" s="3"/>
      <c r="T489" s="3"/>
      <c r="U489" s="4"/>
      <c r="W489" s="6"/>
    </row>
    <row r="490" spans="1:23" ht="15" thickBot="1" x14ac:dyDescent="0.35">
      <c r="A490" s="2">
        <v>46</v>
      </c>
      <c r="B490" s="3" t="s">
        <v>14</v>
      </c>
      <c r="C490" s="2">
        <v>33.4</v>
      </c>
      <c r="D490" s="2">
        <v>1</v>
      </c>
      <c r="E490" s="3" t="s">
        <v>16</v>
      </c>
      <c r="F490" s="3" t="s">
        <v>9</v>
      </c>
      <c r="G490" s="4">
        <v>8334.59</v>
      </c>
      <c r="H490">
        <f t="shared" si="15"/>
        <v>2</v>
      </c>
      <c r="I490" s="6">
        <f t="shared" si="16"/>
        <v>4167.2950000000001</v>
      </c>
      <c r="L490" s="19"/>
      <c r="O490" s="2"/>
      <c r="P490" s="3"/>
      <c r="Q490" s="2"/>
      <c r="R490" s="2"/>
      <c r="S490" s="3"/>
      <c r="T490" s="3"/>
      <c r="U490" s="4"/>
      <c r="W490" s="6"/>
    </row>
    <row r="491" spans="1:23" ht="15" thickBot="1" x14ac:dyDescent="0.35">
      <c r="A491" s="2">
        <v>46</v>
      </c>
      <c r="B491" s="3" t="s">
        <v>15</v>
      </c>
      <c r="C491" s="2">
        <v>20</v>
      </c>
      <c r="D491" s="2">
        <v>2</v>
      </c>
      <c r="E491" s="3" t="s">
        <v>16</v>
      </c>
      <c r="F491" s="3" t="s">
        <v>7</v>
      </c>
      <c r="G491" s="4">
        <v>9193.84</v>
      </c>
      <c r="H491">
        <f t="shared" si="15"/>
        <v>3</v>
      </c>
      <c r="I491" s="6">
        <f t="shared" si="16"/>
        <v>3064.6133333333332</v>
      </c>
      <c r="L491" s="19"/>
      <c r="O491" s="2"/>
      <c r="P491" s="3"/>
      <c r="Q491" s="2"/>
      <c r="R491" s="2"/>
      <c r="S491" s="3"/>
      <c r="T491" s="3"/>
      <c r="U491" s="4"/>
      <c r="W491" s="6"/>
    </row>
    <row r="492" spans="1:23" ht="15" thickBot="1" x14ac:dyDescent="0.35">
      <c r="A492" s="2">
        <v>46</v>
      </c>
      <c r="B492" s="3" t="s">
        <v>15</v>
      </c>
      <c r="C492" s="2">
        <v>33.700000000000003</v>
      </c>
      <c r="D492" s="2">
        <v>1</v>
      </c>
      <c r="E492" s="3" t="s">
        <v>16</v>
      </c>
      <c r="F492" s="3" t="s">
        <v>9</v>
      </c>
      <c r="G492" s="4">
        <v>8823.99</v>
      </c>
      <c r="H492">
        <f t="shared" si="15"/>
        <v>2</v>
      </c>
      <c r="I492" s="6">
        <f t="shared" si="16"/>
        <v>4411.9949999999999</v>
      </c>
      <c r="L492" s="19"/>
      <c r="O492" s="2"/>
      <c r="P492" s="3"/>
      <c r="Q492" s="2"/>
      <c r="R492" s="2"/>
      <c r="S492" s="3"/>
      <c r="T492" s="3"/>
      <c r="U492" s="4"/>
      <c r="W492" s="6"/>
    </row>
    <row r="493" spans="1:23" ht="15" thickBot="1" x14ac:dyDescent="0.35">
      <c r="A493" s="2">
        <v>46</v>
      </c>
      <c r="B493" s="3" t="s">
        <v>15</v>
      </c>
      <c r="C493" s="2">
        <v>30.8</v>
      </c>
      <c r="D493" s="2">
        <v>3</v>
      </c>
      <c r="E493" s="3" t="s">
        <v>16</v>
      </c>
      <c r="F493" s="3" t="s">
        <v>8</v>
      </c>
      <c r="G493" s="4">
        <v>9414.92</v>
      </c>
      <c r="H493">
        <f t="shared" si="15"/>
        <v>4</v>
      </c>
      <c r="I493" s="6">
        <f t="shared" si="16"/>
        <v>2353.73</v>
      </c>
      <c r="L493" s="19"/>
      <c r="O493" s="2"/>
      <c r="P493" s="3"/>
      <c r="Q493" s="2"/>
      <c r="R493" s="2"/>
      <c r="S493" s="3"/>
      <c r="T493" s="3"/>
      <c r="U493" s="4"/>
      <c r="W493" s="6"/>
    </row>
    <row r="494" spans="1:23" ht="15" thickBot="1" x14ac:dyDescent="0.35">
      <c r="A494" s="2">
        <v>46</v>
      </c>
      <c r="B494" s="3" t="s">
        <v>15</v>
      </c>
      <c r="C494" s="2">
        <v>35.5</v>
      </c>
      <c r="D494" s="2">
        <v>0</v>
      </c>
      <c r="E494" s="3" t="s">
        <v>17</v>
      </c>
      <c r="F494" s="3" t="s">
        <v>9</v>
      </c>
      <c r="G494" s="4">
        <v>42111.66</v>
      </c>
      <c r="H494">
        <f t="shared" si="15"/>
        <v>1</v>
      </c>
      <c r="I494" s="6">
        <f t="shared" si="16"/>
        <v>42111.66</v>
      </c>
      <c r="L494" s="19"/>
      <c r="O494" s="2"/>
      <c r="P494" s="3"/>
      <c r="Q494" s="2"/>
      <c r="R494" s="2"/>
      <c r="S494" s="3"/>
      <c r="T494" s="3"/>
      <c r="U494" s="4"/>
      <c r="W494" s="6"/>
    </row>
    <row r="495" spans="1:23" ht="15" thickBot="1" x14ac:dyDescent="0.35">
      <c r="A495" s="2">
        <v>46</v>
      </c>
      <c r="B495" s="3" t="s">
        <v>14</v>
      </c>
      <c r="C495" s="2">
        <v>25.8</v>
      </c>
      <c r="D495" s="2">
        <v>5</v>
      </c>
      <c r="E495" s="3" t="s">
        <v>16</v>
      </c>
      <c r="F495" s="3" t="s">
        <v>8</v>
      </c>
      <c r="G495" s="4">
        <v>10096.969999999999</v>
      </c>
      <c r="H495">
        <f t="shared" si="15"/>
        <v>6</v>
      </c>
      <c r="I495" s="6">
        <f t="shared" si="16"/>
        <v>1682.8283333333331</v>
      </c>
      <c r="L495" s="19"/>
      <c r="O495" s="2"/>
      <c r="P495" s="3"/>
      <c r="Q495" s="2"/>
      <c r="R495" s="2"/>
      <c r="S495" s="3"/>
      <c r="T495" s="3"/>
      <c r="U495" s="4"/>
      <c r="W495" s="6"/>
    </row>
    <row r="496" spans="1:23" ht="15" thickBot="1" x14ac:dyDescent="0.35">
      <c r="A496" s="2">
        <v>46</v>
      </c>
      <c r="B496" s="3" t="s">
        <v>14</v>
      </c>
      <c r="C496" s="2">
        <v>24.8</v>
      </c>
      <c r="D496" s="2">
        <v>3</v>
      </c>
      <c r="E496" s="3" t="s">
        <v>16</v>
      </c>
      <c r="F496" s="3" t="s">
        <v>9</v>
      </c>
      <c r="G496" s="4">
        <v>9500.57</v>
      </c>
      <c r="H496">
        <f t="shared" si="15"/>
        <v>4</v>
      </c>
      <c r="I496" s="6">
        <f t="shared" si="16"/>
        <v>2375.1424999999999</v>
      </c>
      <c r="L496" s="19"/>
      <c r="O496" s="2"/>
      <c r="P496" s="3"/>
      <c r="Q496" s="2"/>
      <c r="R496" s="2"/>
      <c r="S496" s="3"/>
      <c r="T496" s="3"/>
      <c r="U496" s="4"/>
      <c r="W496" s="6"/>
    </row>
    <row r="497" spans="1:23" ht="15" thickBot="1" x14ac:dyDescent="0.35">
      <c r="A497" s="2">
        <v>46</v>
      </c>
      <c r="B497" s="3" t="s">
        <v>15</v>
      </c>
      <c r="C497" s="2">
        <v>23.7</v>
      </c>
      <c r="D497" s="2">
        <v>1</v>
      </c>
      <c r="E497" s="3" t="s">
        <v>17</v>
      </c>
      <c r="F497" s="3" t="s">
        <v>7</v>
      </c>
      <c r="G497" s="4">
        <v>21677.279999999999</v>
      </c>
      <c r="H497">
        <f t="shared" si="15"/>
        <v>2</v>
      </c>
      <c r="I497" s="6">
        <f t="shared" si="16"/>
        <v>10838.64</v>
      </c>
      <c r="L497" s="19"/>
      <c r="O497" s="2"/>
      <c r="P497" s="3"/>
      <c r="Q497" s="2"/>
      <c r="R497" s="2"/>
      <c r="S497" s="3"/>
      <c r="T497" s="3"/>
      <c r="U497" s="4"/>
      <c r="W497" s="6"/>
    </row>
    <row r="498" spans="1:23" ht="15" thickBot="1" x14ac:dyDescent="0.35">
      <c r="A498" s="2">
        <v>46</v>
      </c>
      <c r="B498" s="3" t="s">
        <v>14</v>
      </c>
      <c r="C498" s="2">
        <v>38.200000000000003</v>
      </c>
      <c r="D498" s="2">
        <v>2</v>
      </c>
      <c r="E498" s="3" t="s">
        <v>16</v>
      </c>
      <c r="F498" s="3" t="s">
        <v>10</v>
      </c>
      <c r="G498" s="4">
        <v>8347.16</v>
      </c>
      <c r="H498">
        <f t="shared" si="15"/>
        <v>3</v>
      </c>
      <c r="I498" s="6">
        <f t="shared" si="16"/>
        <v>2782.3866666666668</v>
      </c>
      <c r="L498" s="19"/>
      <c r="O498" s="2"/>
      <c r="P498" s="3"/>
      <c r="Q498" s="2"/>
      <c r="R498" s="2"/>
      <c r="S498" s="3"/>
      <c r="T498" s="3"/>
      <c r="U498" s="4"/>
      <c r="W498" s="6"/>
    </row>
    <row r="499" spans="1:23" ht="15" thickBot="1" x14ac:dyDescent="0.35">
      <c r="A499" s="2">
        <v>46</v>
      </c>
      <c r="B499" s="3" t="s">
        <v>14</v>
      </c>
      <c r="C499" s="2">
        <v>40.4</v>
      </c>
      <c r="D499" s="2">
        <v>2</v>
      </c>
      <c r="E499" s="3" t="s">
        <v>16</v>
      </c>
      <c r="F499" s="3" t="s">
        <v>7</v>
      </c>
      <c r="G499" s="4">
        <v>8733.23</v>
      </c>
      <c r="H499">
        <f t="shared" si="15"/>
        <v>3</v>
      </c>
      <c r="I499" s="6">
        <f t="shared" si="16"/>
        <v>2911.0766666666664</v>
      </c>
      <c r="L499" s="19"/>
      <c r="O499" s="2"/>
      <c r="P499" s="3"/>
      <c r="Q499" s="2"/>
      <c r="R499" s="2"/>
      <c r="S499" s="3"/>
      <c r="T499" s="3"/>
      <c r="U499" s="4"/>
      <c r="W499" s="6"/>
    </row>
    <row r="500" spans="1:23" ht="15" thickBot="1" x14ac:dyDescent="0.35">
      <c r="A500" s="2">
        <v>46</v>
      </c>
      <c r="B500" s="3" t="s">
        <v>15</v>
      </c>
      <c r="C500" s="2">
        <v>34.6</v>
      </c>
      <c r="D500" s="2">
        <v>1</v>
      </c>
      <c r="E500" s="3" t="s">
        <v>17</v>
      </c>
      <c r="F500" s="3" t="s">
        <v>8</v>
      </c>
      <c r="G500" s="4">
        <v>41661.599999999999</v>
      </c>
      <c r="H500">
        <f t="shared" si="15"/>
        <v>2</v>
      </c>
      <c r="I500" s="6">
        <f t="shared" si="16"/>
        <v>20830.8</v>
      </c>
      <c r="L500" s="19"/>
      <c r="O500" s="2"/>
      <c r="P500" s="3"/>
      <c r="Q500" s="2"/>
      <c r="R500" s="2"/>
      <c r="S500" s="3"/>
      <c r="T500" s="3"/>
      <c r="U500" s="4"/>
      <c r="W500" s="6"/>
    </row>
    <row r="501" spans="1:23" ht="15" thickBot="1" x14ac:dyDescent="0.35">
      <c r="A501" s="2">
        <v>46</v>
      </c>
      <c r="B501" s="3" t="s">
        <v>14</v>
      </c>
      <c r="C501" s="2">
        <v>25.7</v>
      </c>
      <c r="D501" s="2">
        <v>3</v>
      </c>
      <c r="E501" s="3" t="s">
        <v>16</v>
      </c>
      <c r="F501" s="3" t="s">
        <v>7</v>
      </c>
      <c r="G501" s="4">
        <v>9301.89</v>
      </c>
      <c r="H501">
        <f t="shared" si="15"/>
        <v>4</v>
      </c>
      <c r="I501" s="6">
        <f t="shared" si="16"/>
        <v>2325.4724999999999</v>
      </c>
      <c r="L501" s="19"/>
      <c r="O501" s="2"/>
      <c r="P501" s="3"/>
      <c r="Q501" s="2"/>
      <c r="R501" s="2"/>
      <c r="S501" s="3"/>
      <c r="T501" s="3"/>
      <c r="U501" s="4"/>
      <c r="W501" s="6"/>
    </row>
    <row r="502" spans="1:23" ht="15" thickBot="1" x14ac:dyDescent="0.35">
      <c r="A502" s="2">
        <v>45</v>
      </c>
      <c r="B502" s="3" t="s">
        <v>15</v>
      </c>
      <c r="C502" s="2">
        <v>38.299999999999997</v>
      </c>
      <c r="D502" s="2">
        <v>0</v>
      </c>
      <c r="E502" s="3" t="s">
        <v>16</v>
      </c>
      <c r="F502" s="3" t="s">
        <v>9</v>
      </c>
      <c r="G502" s="4">
        <v>7935.29</v>
      </c>
      <c r="H502">
        <f t="shared" si="15"/>
        <v>1</v>
      </c>
      <c r="I502" s="6">
        <f t="shared" si="16"/>
        <v>7935.29</v>
      </c>
      <c r="L502" s="19"/>
      <c r="O502" s="2"/>
      <c r="P502" s="3"/>
      <c r="Q502" s="2"/>
      <c r="R502" s="2"/>
      <c r="S502" s="3"/>
      <c r="T502" s="3"/>
      <c r="U502" s="4"/>
      <c r="W502" s="6"/>
    </row>
    <row r="503" spans="1:23" ht="15" thickBot="1" x14ac:dyDescent="0.35">
      <c r="A503" s="2">
        <v>45</v>
      </c>
      <c r="B503" s="3" t="s">
        <v>14</v>
      </c>
      <c r="C503" s="2">
        <v>22.9</v>
      </c>
      <c r="D503" s="2">
        <v>2</v>
      </c>
      <c r="E503" s="3" t="s">
        <v>17</v>
      </c>
      <c r="F503" s="3" t="s">
        <v>7</v>
      </c>
      <c r="G503" s="4">
        <v>21098.55</v>
      </c>
      <c r="H503">
        <f t="shared" si="15"/>
        <v>3</v>
      </c>
      <c r="I503" s="6">
        <f t="shared" si="16"/>
        <v>7032.8499999999995</v>
      </c>
      <c r="L503" s="19"/>
      <c r="O503" s="2"/>
      <c r="P503" s="3"/>
      <c r="Q503" s="2"/>
      <c r="R503" s="2"/>
      <c r="S503" s="3"/>
      <c r="T503" s="3"/>
      <c r="U503" s="4"/>
      <c r="W503" s="6"/>
    </row>
    <row r="504" spans="1:23" ht="15" thickBot="1" x14ac:dyDescent="0.35">
      <c r="A504" s="2">
        <v>45</v>
      </c>
      <c r="B504" s="3" t="s">
        <v>15</v>
      </c>
      <c r="C504" s="2">
        <v>28.6</v>
      </c>
      <c r="D504" s="2">
        <v>2</v>
      </c>
      <c r="E504" s="3" t="s">
        <v>16</v>
      </c>
      <c r="F504" s="3" t="s">
        <v>10</v>
      </c>
      <c r="G504" s="4">
        <v>8516.83</v>
      </c>
      <c r="H504">
        <f t="shared" si="15"/>
        <v>3</v>
      </c>
      <c r="I504" s="6">
        <f t="shared" si="16"/>
        <v>2838.9433333333332</v>
      </c>
      <c r="L504" s="19"/>
      <c r="O504" s="2"/>
      <c r="P504" s="3"/>
      <c r="Q504" s="2"/>
      <c r="R504" s="2"/>
      <c r="S504" s="3"/>
      <c r="T504" s="3"/>
      <c r="U504" s="4"/>
      <c r="W504" s="6"/>
    </row>
    <row r="505" spans="1:23" ht="15" thickBot="1" x14ac:dyDescent="0.35">
      <c r="A505" s="2">
        <v>45</v>
      </c>
      <c r="B505" s="3" t="s">
        <v>15</v>
      </c>
      <c r="C505" s="2">
        <v>30.9</v>
      </c>
      <c r="D505" s="2">
        <v>2</v>
      </c>
      <c r="E505" s="3" t="s">
        <v>16</v>
      </c>
      <c r="F505" s="3" t="s">
        <v>8</v>
      </c>
      <c r="G505" s="4">
        <v>8520.0300000000007</v>
      </c>
      <c r="H505">
        <f t="shared" si="15"/>
        <v>3</v>
      </c>
      <c r="I505" s="6">
        <f t="shared" si="16"/>
        <v>2840.01</v>
      </c>
      <c r="L505" s="19"/>
      <c r="O505" s="2"/>
      <c r="P505" s="3"/>
      <c r="Q505" s="2"/>
      <c r="R505" s="2"/>
      <c r="S505" s="3"/>
      <c r="T505" s="3"/>
      <c r="U505" s="4"/>
      <c r="W505" s="6"/>
    </row>
    <row r="506" spans="1:23" ht="15" thickBot="1" x14ac:dyDescent="0.35">
      <c r="A506" s="2">
        <v>45</v>
      </c>
      <c r="B506" s="3" t="s">
        <v>14</v>
      </c>
      <c r="C506" s="2">
        <v>30.2</v>
      </c>
      <c r="D506" s="2">
        <v>1</v>
      </c>
      <c r="E506" s="3" t="s">
        <v>16</v>
      </c>
      <c r="F506" s="3" t="s">
        <v>8</v>
      </c>
      <c r="G506" s="4">
        <v>7441.05</v>
      </c>
      <c r="H506">
        <f t="shared" si="15"/>
        <v>2</v>
      </c>
      <c r="I506" s="6">
        <f t="shared" si="16"/>
        <v>3720.5250000000001</v>
      </c>
      <c r="L506" s="19"/>
      <c r="O506" s="2"/>
      <c r="P506" s="3"/>
      <c r="Q506" s="2"/>
      <c r="R506" s="2"/>
      <c r="S506" s="3"/>
      <c r="T506" s="3"/>
      <c r="U506" s="4"/>
      <c r="W506" s="6"/>
    </row>
    <row r="507" spans="1:23" ht="15" thickBot="1" x14ac:dyDescent="0.35">
      <c r="A507" s="2">
        <v>45</v>
      </c>
      <c r="B507" s="3" t="s">
        <v>14</v>
      </c>
      <c r="C507" s="2">
        <v>36.5</v>
      </c>
      <c r="D507" s="2">
        <v>2</v>
      </c>
      <c r="E507" s="3" t="s">
        <v>17</v>
      </c>
      <c r="F507" s="3" t="s">
        <v>7</v>
      </c>
      <c r="G507" s="4">
        <v>42760.5</v>
      </c>
      <c r="H507">
        <f t="shared" si="15"/>
        <v>3</v>
      </c>
      <c r="I507" s="6">
        <f t="shared" si="16"/>
        <v>14253.5</v>
      </c>
      <c r="L507" s="19"/>
      <c r="O507" s="2"/>
      <c r="P507" s="3"/>
      <c r="Q507" s="2"/>
      <c r="R507" s="2"/>
      <c r="S507" s="3"/>
      <c r="T507" s="3"/>
      <c r="U507" s="4"/>
      <c r="W507" s="6"/>
    </row>
    <row r="508" spans="1:23" ht="15" thickBot="1" x14ac:dyDescent="0.35">
      <c r="A508" s="2">
        <v>45</v>
      </c>
      <c r="B508" s="3" t="s">
        <v>14</v>
      </c>
      <c r="C508" s="2">
        <v>24.3</v>
      </c>
      <c r="D508" s="2">
        <v>5</v>
      </c>
      <c r="E508" s="3" t="s">
        <v>16</v>
      </c>
      <c r="F508" s="3" t="s">
        <v>10</v>
      </c>
      <c r="G508" s="4">
        <v>9788.8700000000008</v>
      </c>
      <c r="H508">
        <f t="shared" si="15"/>
        <v>6</v>
      </c>
      <c r="I508" s="6">
        <f t="shared" si="16"/>
        <v>1631.4783333333335</v>
      </c>
      <c r="L508" s="19"/>
      <c r="O508" s="2"/>
      <c r="P508" s="3"/>
      <c r="Q508" s="2"/>
      <c r="R508" s="2"/>
      <c r="S508" s="3"/>
      <c r="T508" s="3"/>
      <c r="U508" s="4"/>
      <c r="W508" s="6"/>
    </row>
    <row r="509" spans="1:23" ht="15" thickBot="1" x14ac:dyDescent="0.35">
      <c r="A509" s="2">
        <v>45</v>
      </c>
      <c r="B509" s="3" t="s">
        <v>15</v>
      </c>
      <c r="C509" s="2">
        <v>33.1</v>
      </c>
      <c r="D509" s="2">
        <v>0</v>
      </c>
      <c r="E509" s="3" t="s">
        <v>16</v>
      </c>
      <c r="F509" s="3" t="s">
        <v>8</v>
      </c>
      <c r="G509" s="4">
        <v>7345.08</v>
      </c>
      <c r="H509">
        <f t="shared" si="15"/>
        <v>1</v>
      </c>
      <c r="I509" s="6">
        <f t="shared" si="16"/>
        <v>7345.08</v>
      </c>
      <c r="L509" s="19"/>
      <c r="O509" s="2"/>
      <c r="P509" s="3"/>
      <c r="Q509" s="2"/>
      <c r="R509" s="2"/>
      <c r="S509" s="3"/>
      <c r="T509" s="3"/>
      <c r="U509" s="4"/>
      <c r="W509" s="6"/>
    </row>
    <row r="510" spans="1:23" ht="15" thickBot="1" x14ac:dyDescent="0.35">
      <c r="A510" s="2">
        <v>45</v>
      </c>
      <c r="B510" s="3" t="s">
        <v>14</v>
      </c>
      <c r="C510" s="2">
        <v>28.7</v>
      </c>
      <c r="D510" s="2">
        <v>2</v>
      </c>
      <c r="E510" s="3" t="s">
        <v>16</v>
      </c>
      <c r="F510" s="3" t="s">
        <v>8</v>
      </c>
      <c r="G510" s="4">
        <v>8027.97</v>
      </c>
      <c r="H510">
        <f t="shared" si="15"/>
        <v>3</v>
      </c>
      <c r="I510" s="6">
        <f t="shared" si="16"/>
        <v>2675.9900000000002</v>
      </c>
      <c r="L510" s="19"/>
      <c r="O510" s="2"/>
      <c r="P510" s="3"/>
      <c r="Q510" s="2"/>
      <c r="R510" s="2"/>
      <c r="S510" s="3"/>
      <c r="T510" s="3"/>
      <c r="U510" s="4"/>
      <c r="W510" s="6"/>
    </row>
    <row r="511" spans="1:23" ht="15" thickBot="1" x14ac:dyDescent="0.35">
      <c r="A511" s="2">
        <v>45</v>
      </c>
      <c r="B511" s="3" t="s">
        <v>14</v>
      </c>
      <c r="C511" s="2">
        <v>30.5</v>
      </c>
      <c r="D511" s="2">
        <v>2</v>
      </c>
      <c r="E511" s="3" t="s">
        <v>16</v>
      </c>
      <c r="F511" s="3" t="s">
        <v>7</v>
      </c>
      <c r="G511" s="4">
        <v>8413.4599999999991</v>
      </c>
      <c r="H511">
        <f t="shared" si="15"/>
        <v>3</v>
      </c>
      <c r="I511" s="6">
        <f t="shared" si="16"/>
        <v>2804.4866666666662</v>
      </c>
      <c r="L511" s="19"/>
      <c r="O511" s="2"/>
      <c r="P511" s="3"/>
      <c r="Q511" s="2"/>
      <c r="R511" s="2"/>
      <c r="S511" s="3"/>
      <c r="T511" s="3"/>
      <c r="U511" s="4"/>
      <c r="W511" s="6"/>
    </row>
    <row r="512" spans="1:23" ht="15" thickBot="1" x14ac:dyDescent="0.35">
      <c r="A512" s="2">
        <v>45</v>
      </c>
      <c r="B512" s="3" t="s">
        <v>15</v>
      </c>
      <c r="C512" s="2">
        <v>36.299999999999997</v>
      </c>
      <c r="D512" s="2">
        <v>2</v>
      </c>
      <c r="E512" s="3" t="s">
        <v>16</v>
      </c>
      <c r="F512" s="3" t="s">
        <v>10</v>
      </c>
      <c r="G512" s="4">
        <v>8527.5300000000007</v>
      </c>
      <c r="H512">
        <f t="shared" si="15"/>
        <v>3</v>
      </c>
      <c r="I512" s="6">
        <f t="shared" si="16"/>
        <v>2842.51</v>
      </c>
      <c r="L512" s="19"/>
      <c r="O512" s="2"/>
      <c r="P512" s="3"/>
      <c r="Q512" s="2"/>
      <c r="R512" s="2"/>
      <c r="S512" s="3"/>
      <c r="T512" s="3"/>
      <c r="U512" s="4"/>
      <c r="W512" s="6"/>
    </row>
    <row r="513" spans="1:23" ht="15" thickBot="1" x14ac:dyDescent="0.35">
      <c r="A513" s="2">
        <v>45</v>
      </c>
      <c r="B513" s="3" t="s">
        <v>14</v>
      </c>
      <c r="C513" s="2">
        <v>21.4</v>
      </c>
      <c r="D513" s="2">
        <v>0</v>
      </c>
      <c r="E513" s="3" t="s">
        <v>16</v>
      </c>
      <c r="F513" s="3" t="s">
        <v>7</v>
      </c>
      <c r="G513" s="4">
        <v>7222.79</v>
      </c>
      <c r="H513">
        <f t="shared" si="15"/>
        <v>1</v>
      </c>
      <c r="I513" s="6">
        <f t="shared" si="16"/>
        <v>7222.79</v>
      </c>
      <c r="L513" s="19"/>
      <c r="O513" s="2"/>
      <c r="P513" s="3"/>
      <c r="Q513" s="2"/>
      <c r="R513" s="2"/>
      <c r="S513" s="3"/>
      <c r="T513" s="3"/>
      <c r="U513" s="4"/>
      <c r="W513" s="6"/>
    </row>
    <row r="514" spans="1:23" ht="15" thickBot="1" x14ac:dyDescent="0.35">
      <c r="A514" s="2">
        <v>45</v>
      </c>
      <c r="B514" s="3" t="s">
        <v>14</v>
      </c>
      <c r="C514" s="2">
        <v>24</v>
      </c>
      <c r="D514" s="2">
        <v>2</v>
      </c>
      <c r="E514" s="3" t="s">
        <v>16</v>
      </c>
      <c r="F514" s="3" t="s">
        <v>9</v>
      </c>
      <c r="G514" s="4">
        <v>8604.48</v>
      </c>
      <c r="H514">
        <f t="shared" si="15"/>
        <v>3</v>
      </c>
      <c r="I514" s="6">
        <f t="shared" si="16"/>
        <v>2868.16</v>
      </c>
      <c r="L514" s="19"/>
      <c r="O514" s="2"/>
      <c r="P514" s="3"/>
      <c r="Q514" s="2"/>
      <c r="R514" s="2"/>
      <c r="S514" s="3"/>
      <c r="T514" s="3"/>
      <c r="U514" s="4"/>
      <c r="W514" s="6"/>
    </row>
    <row r="515" spans="1:23" ht="15" thickBot="1" x14ac:dyDescent="0.35">
      <c r="A515" s="2">
        <v>45</v>
      </c>
      <c r="B515" s="3" t="s">
        <v>15</v>
      </c>
      <c r="C515" s="2">
        <v>25.2</v>
      </c>
      <c r="D515" s="2">
        <v>2</v>
      </c>
      <c r="E515" s="3" t="s">
        <v>16</v>
      </c>
      <c r="F515" s="3" t="s">
        <v>9</v>
      </c>
      <c r="G515" s="4">
        <v>9095.07</v>
      </c>
      <c r="H515">
        <f t="shared" ref="H515:H578" si="17">D515+1</f>
        <v>3</v>
      </c>
      <c r="I515" s="6">
        <f t="shared" ref="I515:I578" si="18">G515/H515</f>
        <v>3031.69</v>
      </c>
      <c r="L515" s="19"/>
      <c r="O515" s="2"/>
      <c r="P515" s="3"/>
      <c r="Q515" s="2"/>
      <c r="R515" s="2"/>
      <c r="S515" s="3"/>
      <c r="T515" s="3"/>
      <c r="U515" s="4"/>
      <c r="W515" s="6"/>
    </row>
    <row r="516" spans="1:23" ht="15" thickBot="1" x14ac:dyDescent="0.35">
      <c r="A516" s="2">
        <v>45</v>
      </c>
      <c r="B516" s="3" t="s">
        <v>14</v>
      </c>
      <c r="C516" s="2">
        <v>39.799999999999997</v>
      </c>
      <c r="D516" s="2">
        <v>0</v>
      </c>
      <c r="E516" s="3" t="s">
        <v>16</v>
      </c>
      <c r="F516" s="3" t="s">
        <v>9</v>
      </c>
      <c r="G516" s="4">
        <v>7448.4</v>
      </c>
      <c r="H516">
        <f t="shared" si="17"/>
        <v>1</v>
      </c>
      <c r="I516" s="6">
        <f t="shared" si="18"/>
        <v>7448.4</v>
      </c>
      <c r="L516" s="19"/>
      <c r="O516" s="2"/>
      <c r="P516" s="3"/>
      <c r="Q516" s="2"/>
      <c r="R516" s="2"/>
      <c r="S516" s="3"/>
      <c r="T516" s="3"/>
      <c r="U516" s="4"/>
      <c r="W516" s="6"/>
    </row>
    <row r="517" spans="1:23" ht="15" thickBot="1" x14ac:dyDescent="0.35">
      <c r="A517" s="2">
        <v>45</v>
      </c>
      <c r="B517" s="3" t="s">
        <v>15</v>
      </c>
      <c r="C517" s="2">
        <v>35.799999999999997</v>
      </c>
      <c r="D517" s="2">
        <v>0</v>
      </c>
      <c r="E517" s="3" t="s">
        <v>16</v>
      </c>
      <c r="F517" s="3" t="s">
        <v>7</v>
      </c>
      <c r="G517" s="4">
        <v>7731.86</v>
      </c>
      <c r="H517">
        <f t="shared" si="17"/>
        <v>1</v>
      </c>
      <c r="I517" s="6">
        <f t="shared" si="18"/>
        <v>7731.86</v>
      </c>
      <c r="L517" s="19"/>
      <c r="O517" s="2"/>
      <c r="P517" s="3"/>
      <c r="Q517" s="2"/>
      <c r="R517" s="2"/>
      <c r="S517" s="3"/>
      <c r="T517" s="3"/>
      <c r="U517" s="4"/>
      <c r="W517" s="6"/>
    </row>
    <row r="518" spans="1:23" ht="15" thickBot="1" x14ac:dyDescent="0.35">
      <c r="A518" s="2">
        <v>45</v>
      </c>
      <c r="B518" s="3" t="s">
        <v>14</v>
      </c>
      <c r="C518" s="2">
        <v>33.700000000000003</v>
      </c>
      <c r="D518" s="2">
        <v>1</v>
      </c>
      <c r="E518" s="3" t="s">
        <v>16</v>
      </c>
      <c r="F518" s="3" t="s">
        <v>8</v>
      </c>
      <c r="G518" s="4">
        <v>7445.92</v>
      </c>
      <c r="H518">
        <f t="shared" si="17"/>
        <v>2</v>
      </c>
      <c r="I518" s="6">
        <f t="shared" si="18"/>
        <v>3722.96</v>
      </c>
      <c r="L518" s="19"/>
      <c r="O518" s="2"/>
      <c r="P518" s="3"/>
      <c r="Q518" s="2"/>
      <c r="R518" s="2"/>
      <c r="S518" s="3"/>
      <c r="T518" s="3"/>
      <c r="U518" s="4"/>
      <c r="W518" s="6"/>
    </row>
    <row r="519" spans="1:23" ht="15" thickBot="1" x14ac:dyDescent="0.35">
      <c r="A519" s="2">
        <v>45</v>
      </c>
      <c r="B519" s="3" t="s">
        <v>14</v>
      </c>
      <c r="C519" s="2">
        <v>22.9</v>
      </c>
      <c r="D519" s="2">
        <v>0</v>
      </c>
      <c r="E519" s="3" t="s">
        <v>17</v>
      </c>
      <c r="F519" s="3" t="s">
        <v>9</v>
      </c>
      <c r="G519" s="4">
        <v>35069.370000000003</v>
      </c>
      <c r="H519">
        <f t="shared" si="17"/>
        <v>1</v>
      </c>
      <c r="I519" s="6">
        <f t="shared" si="18"/>
        <v>35069.370000000003</v>
      </c>
      <c r="L519" s="19"/>
      <c r="O519" s="2"/>
      <c r="P519" s="3"/>
      <c r="Q519" s="2"/>
      <c r="R519" s="2"/>
      <c r="S519" s="3"/>
      <c r="T519" s="3"/>
      <c r="U519" s="4"/>
      <c r="W519" s="6"/>
    </row>
    <row r="520" spans="1:23" ht="15" thickBot="1" x14ac:dyDescent="0.35">
      <c r="A520" s="2">
        <v>45</v>
      </c>
      <c r="B520" s="3" t="s">
        <v>15</v>
      </c>
      <c r="C520" s="2">
        <v>35.299999999999997</v>
      </c>
      <c r="D520" s="2">
        <v>0</v>
      </c>
      <c r="E520" s="3" t="s">
        <v>16</v>
      </c>
      <c r="F520" s="3" t="s">
        <v>8</v>
      </c>
      <c r="G520" s="4">
        <v>7348.14</v>
      </c>
      <c r="H520">
        <f t="shared" si="17"/>
        <v>1</v>
      </c>
      <c r="I520" s="6">
        <f t="shared" si="18"/>
        <v>7348.14</v>
      </c>
      <c r="L520" s="19"/>
      <c r="O520" s="2"/>
      <c r="P520" s="3"/>
      <c r="Q520" s="2"/>
      <c r="R520" s="2"/>
      <c r="S520" s="3"/>
      <c r="T520" s="3"/>
      <c r="U520" s="4"/>
      <c r="W520" s="6"/>
    </row>
    <row r="521" spans="1:23" ht="15" thickBot="1" x14ac:dyDescent="0.35">
      <c r="A521" s="2">
        <v>45</v>
      </c>
      <c r="B521" s="3" t="s">
        <v>15</v>
      </c>
      <c r="C521" s="2">
        <v>40</v>
      </c>
      <c r="D521" s="2">
        <v>3</v>
      </c>
      <c r="E521" s="3" t="s">
        <v>16</v>
      </c>
      <c r="F521" s="3" t="s">
        <v>9</v>
      </c>
      <c r="G521" s="4">
        <v>9704.67</v>
      </c>
      <c r="H521">
        <f t="shared" si="17"/>
        <v>4</v>
      </c>
      <c r="I521" s="6">
        <f t="shared" si="18"/>
        <v>2426.1675</v>
      </c>
      <c r="L521" s="19"/>
      <c r="O521" s="2"/>
      <c r="P521" s="3"/>
      <c r="Q521" s="2"/>
      <c r="R521" s="2"/>
      <c r="S521" s="3"/>
      <c r="T521" s="3"/>
      <c r="U521" s="4"/>
      <c r="W521" s="6"/>
    </row>
    <row r="522" spans="1:23" ht="15" thickBot="1" x14ac:dyDescent="0.35">
      <c r="A522" s="2">
        <v>45</v>
      </c>
      <c r="B522" s="3" t="s">
        <v>15</v>
      </c>
      <c r="C522" s="2">
        <v>27.6</v>
      </c>
      <c r="D522" s="2">
        <v>1</v>
      </c>
      <c r="E522" s="3" t="s">
        <v>16</v>
      </c>
      <c r="F522" s="3" t="s">
        <v>7</v>
      </c>
      <c r="G522" s="4">
        <v>28340.19</v>
      </c>
      <c r="H522">
        <f t="shared" si="17"/>
        <v>2</v>
      </c>
      <c r="I522" s="6">
        <f t="shared" si="18"/>
        <v>14170.094999999999</v>
      </c>
      <c r="L522" s="19"/>
      <c r="O522" s="2"/>
      <c r="P522" s="3"/>
      <c r="Q522" s="2"/>
      <c r="R522" s="2"/>
      <c r="S522" s="3"/>
      <c r="T522" s="3"/>
      <c r="U522" s="4"/>
      <c r="W522" s="6"/>
    </row>
    <row r="523" spans="1:23" ht="15" thickBot="1" x14ac:dyDescent="0.35">
      <c r="A523" s="2">
        <v>45</v>
      </c>
      <c r="B523" s="3" t="s">
        <v>15</v>
      </c>
      <c r="C523" s="2">
        <v>30.5</v>
      </c>
      <c r="D523" s="2">
        <v>1</v>
      </c>
      <c r="E523" s="3" t="s">
        <v>17</v>
      </c>
      <c r="F523" s="3" t="s">
        <v>7</v>
      </c>
      <c r="G523" s="4">
        <v>39725.519999999997</v>
      </c>
      <c r="H523">
        <f t="shared" si="17"/>
        <v>2</v>
      </c>
      <c r="I523" s="6">
        <f t="shared" si="18"/>
        <v>19862.759999999998</v>
      </c>
      <c r="L523" s="19"/>
      <c r="O523" s="2"/>
      <c r="P523" s="3"/>
      <c r="Q523" s="2"/>
      <c r="R523" s="2"/>
      <c r="S523" s="3"/>
      <c r="T523" s="3"/>
      <c r="U523" s="4"/>
      <c r="W523" s="6"/>
    </row>
    <row r="524" spans="1:23" ht="15" thickBot="1" x14ac:dyDescent="0.35">
      <c r="A524" s="2">
        <v>45</v>
      </c>
      <c r="B524" s="3" t="s">
        <v>15</v>
      </c>
      <c r="C524" s="2">
        <v>31.8</v>
      </c>
      <c r="D524" s="2">
        <v>0</v>
      </c>
      <c r="E524" s="3" t="s">
        <v>16</v>
      </c>
      <c r="F524" s="3" t="s">
        <v>10</v>
      </c>
      <c r="G524" s="4">
        <v>17929.3</v>
      </c>
      <c r="H524">
        <f t="shared" si="17"/>
        <v>1</v>
      </c>
      <c r="I524" s="6">
        <f t="shared" si="18"/>
        <v>17929.3</v>
      </c>
      <c r="L524" s="19"/>
      <c r="O524" s="2"/>
      <c r="P524" s="3"/>
      <c r="Q524" s="2"/>
      <c r="R524" s="2"/>
      <c r="S524" s="3"/>
      <c r="T524" s="3"/>
      <c r="U524" s="4"/>
      <c r="W524" s="6"/>
    </row>
    <row r="525" spans="1:23" ht="15" thickBot="1" x14ac:dyDescent="0.35">
      <c r="A525" s="2">
        <v>45</v>
      </c>
      <c r="B525" s="3" t="s">
        <v>14</v>
      </c>
      <c r="C525" s="2">
        <v>20.399999999999999</v>
      </c>
      <c r="D525" s="2">
        <v>3</v>
      </c>
      <c r="E525" s="3" t="s">
        <v>16</v>
      </c>
      <c r="F525" s="3" t="s">
        <v>10</v>
      </c>
      <c r="G525" s="4">
        <v>8605.36</v>
      </c>
      <c r="H525">
        <f t="shared" si="17"/>
        <v>4</v>
      </c>
      <c r="I525" s="6">
        <f t="shared" si="18"/>
        <v>2151.34</v>
      </c>
      <c r="L525" s="19"/>
      <c r="O525" s="2"/>
      <c r="P525" s="3"/>
      <c r="Q525" s="2"/>
      <c r="R525" s="2"/>
      <c r="S525" s="3"/>
      <c r="T525" s="3"/>
      <c r="U525" s="4"/>
      <c r="W525" s="6"/>
    </row>
    <row r="526" spans="1:23" ht="15" thickBot="1" x14ac:dyDescent="0.35">
      <c r="A526" s="2">
        <v>45</v>
      </c>
      <c r="B526" s="3" t="s">
        <v>14</v>
      </c>
      <c r="C526" s="2">
        <v>23.6</v>
      </c>
      <c r="D526" s="2">
        <v>2</v>
      </c>
      <c r="E526" s="3" t="s">
        <v>16</v>
      </c>
      <c r="F526" s="3" t="s">
        <v>9</v>
      </c>
      <c r="G526" s="4">
        <v>8603.82</v>
      </c>
      <c r="H526">
        <f t="shared" si="17"/>
        <v>3</v>
      </c>
      <c r="I526" s="6">
        <f t="shared" si="18"/>
        <v>2867.94</v>
      </c>
      <c r="L526" s="19"/>
      <c r="O526" s="2"/>
      <c r="P526" s="3"/>
      <c r="Q526" s="2"/>
      <c r="R526" s="2"/>
      <c r="S526" s="3"/>
      <c r="T526" s="3"/>
      <c r="U526" s="4"/>
      <c r="W526" s="6"/>
    </row>
    <row r="527" spans="1:23" ht="15" thickBot="1" x14ac:dyDescent="0.35">
      <c r="A527" s="2">
        <v>45</v>
      </c>
      <c r="B527" s="3" t="s">
        <v>15</v>
      </c>
      <c r="C527" s="2">
        <v>27.8</v>
      </c>
      <c r="D527" s="2">
        <v>2</v>
      </c>
      <c r="E527" s="3" t="s">
        <v>16</v>
      </c>
      <c r="F527" s="3" t="s">
        <v>10</v>
      </c>
      <c r="G527" s="4">
        <v>8515.76</v>
      </c>
      <c r="H527">
        <f t="shared" si="17"/>
        <v>3</v>
      </c>
      <c r="I527" s="6">
        <f t="shared" si="18"/>
        <v>2838.5866666666666</v>
      </c>
      <c r="L527" s="19"/>
      <c r="O527" s="2"/>
      <c r="P527" s="3"/>
      <c r="Q527" s="2"/>
      <c r="R527" s="2"/>
      <c r="S527" s="3"/>
      <c r="T527" s="3"/>
      <c r="U527" s="4"/>
      <c r="W527" s="6"/>
    </row>
    <row r="528" spans="1:23" ht="15" thickBot="1" x14ac:dyDescent="0.35">
      <c r="A528" s="2">
        <v>45</v>
      </c>
      <c r="B528" s="3" t="s">
        <v>15</v>
      </c>
      <c r="C528" s="2">
        <v>25.7</v>
      </c>
      <c r="D528" s="2">
        <v>3</v>
      </c>
      <c r="E528" s="3" t="s">
        <v>16</v>
      </c>
      <c r="F528" s="3" t="s">
        <v>8</v>
      </c>
      <c r="G528" s="4">
        <v>9101.7999999999993</v>
      </c>
      <c r="H528">
        <f t="shared" si="17"/>
        <v>4</v>
      </c>
      <c r="I528" s="6">
        <f t="shared" si="18"/>
        <v>2275.4499999999998</v>
      </c>
      <c r="L528" s="19"/>
      <c r="O528" s="2"/>
      <c r="P528" s="3"/>
      <c r="Q528" s="2"/>
      <c r="R528" s="2"/>
      <c r="S528" s="3"/>
      <c r="T528" s="3"/>
      <c r="U528" s="4"/>
      <c r="W528" s="6"/>
    </row>
    <row r="529" spans="1:23" ht="15" thickBot="1" x14ac:dyDescent="0.35">
      <c r="A529" s="2">
        <v>45</v>
      </c>
      <c r="B529" s="3" t="s">
        <v>14</v>
      </c>
      <c r="C529" s="2">
        <v>27.5</v>
      </c>
      <c r="D529" s="2">
        <v>3</v>
      </c>
      <c r="E529" s="3" t="s">
        <v>16</v>
      </c>
      <c r="F529" s="3" t="s">
        <v>8</v>
      </c>
      <c r="G529" s="4">
        <v>8615.2999999999993</v>
      </c>
      <c r="H529">
        <f t="shared" si="17"/>
        <v>4</v>
      </c>
      <c r="I529" s="6">
        <f t="shared" si="18"/>
        <v>2153.8249999999998</v>
      </c>
      <c r="L529" s="19"/>
      <c r="O529" s="2"/>
      <c r="P529" s="3"/>
      <c r="Q529" s="2"/>
      <c r="R529" s="2"/>
      <c r="S529" s="3"/>
      <c r="T529" s="3"/>
      <c r="U529" s="4"/>
      <c r="W529" s="6"/>
    </row>
    <row r="530" spans="1:23" ht="15" thickBot="1" x14ac:dyDescent="0.35">
      <c r="A530" s="2">
        <v>45</v>
      </c>
      <c r="B530" s="3" t="s">
        <v>14</v>
      </c>
      <c r="C530" s="2">
        <v>30.4</v>
      </c>
      <c r="D530" s="2">
        <v>0</v>
      </c>
      <c r="E530" s="3" t="s">
        <v>17</v>
      </c>
      <c r="F530" s="3" t="s">
        <v>10</v>
      </c>
      <c r="G530" s="4">
        <v>62592.87</v>
      </c>
      <c r="H530">
        <f t="shared" si="17"/>
        <v>1</v>
      </c>
      <c r="I530" s="6">
        <f t="shared" si="18"/>
        <v>62592.87</v>
      </c>
      <c r="L530" s="19"/>
      <c r="O530" s="2"/>
      <c r="P530" s="3"/>
      <c r="Q530" s="2"/>
      <c r="R530" s="2"/>
      <c r="S530" s="3"/>
      <c r="T530" s="3"/>
      <c r="U530" s="4"/>
      <c r="W530" s="6"/>
    </row>
    <row r="531" spans="1:23" ht="15" thickBot="1" x14ac:dyDescent="0.35">
      <c r="A531" s="2">
        <v>44</v>
      </c>
      <c r="B531" s="3" t="s">
        <v>14</v>
      </c>
      <c r="C531" s="2">
        <v>27.4</v>
      </c>
      <c r="D531" s="2">
        <v>2</v>
      </c>
      <c r="E531" s="3" t="s">
        <v>16</v>
      </c>
      <c r="F531" s="3" t="s">
        <v>8</v>
      </c>
      <c r="G531" s="4">
        <v>7726.85</v>
      </c>
      <c r="H531">
        <f t="shared" si="17"/>
        <v>3</v>
      </c>
      <c r="I531" s="6">
        <f t="shared" si="18"/>
        <v>2575.6166666666668</v>
      </c>
      <c r="L531" s="19"/>
      <c r="O531" s="2"/>
      <c r="P531" s="3"/>
      <c r="Q531" s="2"/>
      <c r="R531" s="2"/>
      <c r="S531" s="3"/>
      <c r="T531" s="3"/>
      <c r="U531" s="4"/>
      <c r="W531" s="6"/>
    </row>
    <row r="532" spans="1:23" ht="15" thickBot="1" x14ac:dyDescent="0.35">
      <c r="A532" s="2">
        <v>44</v>
      </c>
      <c r="B532" s="3" t="s">
        <v>14</v>
      </c>
      <c r="C532" s="2">
        <v>37.1</v>
      </c>
      <c r="D532" s="2">
        <v>2</v>
      </c>
      <c r="E532" s="3" t="s">
        <v>16</v>
      </c>
      <c r="F532" s="3" t="s">
        <v>8</v>
      </c>
      <c r="G532" s="4">
        <v>7740.34</v>
      </c>
      <c r="H532">
        <f t="shared" si="17"/>
        <v>3</v>
      </c>
      <c r="I532" s="6">
        <f t="shared" si="18"/>
        <v>2580.1133333333332</v>
      </c>
      <c r="L532" s="19"/>
      <c r="O532" s="2"/>
      <c r="P532" s="3"/>
      <c r="Q532" s="2"/>
      <c r="R532" s="2"/>
      <c r="S532" s="3"/>
      <c r="T532" s="3"/>
      <c r="U532" s="4"/>
      <c r="W532" s="6"/>
    </row>
    <row r="533" spans="1:23" ht="15" thickBot="1" x14ac:dyDescent="0.35">
      <c r="A533" s="2">
        <v>44</v>
      </c>
      <c r="B533" s="3" t="s">
        <v>14</v>
      </c>
      <c r="C533" s="2">
        <v>31.4</v>
      </c>
      <c r="D533" s="2">
        <v>1</v>
      </c>
      <c r="E533" s="3" t="s">
        <v>17</v>
      </c>
      <c r="F533" s="3" t="s">
        <v>9</v>
      </c>
      <c r="G533" s="4">
        <v>39556.49</v>
      </c>
      <c r="H533">
        <f t="shared" si="17"/>
        <v>2</v>
      </c>
      <c r="I533" s="6">
        <f t="shared" si="18"/>
        <v>19778.244999999999</v>
      </c>
      <c r="L533" s="19"/>
      <c r="O533" s="2"/>
      <c r="P533" s="3"/>
      <c r="Q533" s="2"/>
      <c r="R533" s="2"/>
      <c r="S533" s="3"/>
      <c r="T533" s="3"/>
      <c r="U533" s="4"/>
      <c r="W533" s="6"/>
    </row>
    <row r="534" spans="1:23" ht="15" thickBot="1" x14ac:dyDescent="0.35">
      <c r="A534" s="2">
        <v>44</v>
      </c>
      <c r="B534" s="3" t="s">
        <v>14</v>
      </c>
      <c r="C534" s="2">
        <v>39.5</v>
      </c>
      <c r="D534" s="2">
        <v>0</v>
      </c>
      <c r="E534" s="3" t="s">
        <v>16</v>
      </c>
      <c r="F534" s="3" t="s">
        <v>7</v>
      </c>
      <c r="G534" s="4">
        <v>6948.7</v>
      </c>
      <c r="H534">
        <f t="shared" si="17"/>
        <v>1</v>
      </c>
      <c r="I534" s="6">
        <f t="shared" si="18"/>
        <v>6948.7</v>
      </c>
      <c r="L534" s="19"/>
      <c r="O534" s="2"/>
      <c r="P534" s="3"/>
      <c r="Q534" s="2"/>
      <c r="R534" s="2"/>
      <c r="S534" s="3"/>
      <c r="T534" s="3"/>
      <c r="U534" s="4"/>
      <c r="W534" s="6"/>
    </row>
    <row r="535" spans="1:23" ht="15" thickBot="1" x14ac:dyDescent="0.35">
      <c r="A535" s="2">
        <v>44</v>
      </c>
      <c r="B535" s="3" t="s">
        <v>15</v>
      </c>
      <c r="C535" s="2">
        <v>26.4</v>
      </c>
      <c r="D535" s="2">
        <v>0</v>
      </c>
      <c r="E535" s="3" t="s">
        <v>16</v>
      </c>
      <c r="F535" s="3" t="s">
        <v>7</v>
      </c>
      <c r="G535" s="4">
        <v>7419.48</v>
      </c>
      <c r="H535">
        <f t="shared" si="17"/>
        <v>1</v>
      </c>
      <c r="I535" s="6">
        <f t="shared" si="18"/>
        <v>7419.48</v>
      </c>
      <c r="L535" s="19"/>
      <c r="O535" s="2"/>
      <c r="P535" s="3"/>
      <c r="Q535" s="2"/>
      <c r="R535" s="2"/>
      <c r="S535" s="3"/>
      <c r="T535" s="3"/>
      <c r="U535" s="4"/>
      <c r="W535" s="6"/>
    </row>
    <row r="536" spans="1:23" ht="15" thickBot="1" x14ac:dyDescent="0.35">
      <c r="A536" s="2">
        <v>44</v>
      </c>
      <c r="B536" s="3" t="s">
        <v>14</v>
      </c>
      <c r="C536" s="2">
        <v>30.7</v>
      </c>
      <c r="D536" s="2">
        <v>2</v>
      </c>
      <c r="E536" s="3" t="s">
        <v>16</v>
      </c>
      <c r="F536" s="3" t="s">
        <v>10</v>
      </c>
      <c r="G536" s="4">
        <v>7731.43</v>
      </c>
      <c r="H536">
        <f t="shared" si="17"/>
        <v>3</v>
      </c>
      <c r="I536" s="6">
        <f t="shared" si="18"/>
        <v>2577.1433333333334</v>
      </c>
      <c r="L536" s="19"/>
      <c r="O536" s="2"/>
      <c r="P536" s="3"/>
      <c r="Q536" s="2"/>
      <c r="R536" s="2"/>
      <c r="S536" s="3"/>
      <c r="T536" s="3"/>
      <c r="U536" s="4"/>
      <c r="W536" s="6"/>
    </row>
    <row r="537" spans="1:23" ht="15" thickBot="1" x14ac:dyDescent="0.35">
      <c r="A537" s="2">
        <v>44</v>
      </c>
      <c r="B537" s="3" t="s">
        <v>14</v>
      </c>
      <c r="C537" s="2">
        <v>38.1</v>
      </c>
      <c r="D537" s="2">
        <v>1</v>
      </c>
      <c r="E537" s="3" t="s">
        <v>16</v>
      </c>
      <c r="F537" s="3" t="s">
        <v>10</v>
      </c>
      <c r="G537" s="4">
        <v>7152.67</v>
      </c>
      <c r="H537">
        <f t="shared" si="17"/>
        <v>2</v>
      </c>
      <c r="I537" s="6">
        <f t="shared" si="18"/>
        <v>3576.335</v>
      </c>
      <c r="L537" s="19"/>
      <c r="O537" s="2"/>
      <c r="P537" s="3"/>
      <c r="Q537" s="2"/>
      <c r="R537" s="2"/>
      <c r="S537" s="3"/>
      <c r="T537" s="3"/>
      <c r="U537" s="4"/>
      <c r="W537" s="6"/>
    </row>
    <row r="538" spans="1:23" ht="15" thickBot="1" x14ac:dyDescent="0.35">
      <c r="A538" s="2">
        <v>44</v>
      </c>
      <c r="B538" s="3" t="s">
        <v>15</v>
      </c>
      <c r="C538" s="2">
        <v>27.6</v>
      </c>
      <c r="D538" s="2">
        <v>0</v>
      </c>
      <c r="E538" s="3" t="s">
        <v>16</v>
      </c>
      <c r="F538" s="3" t="s">
        <v>7</v>
      </c>
      <c r="G538" s="4">
        <v>7421.19</v>
      </c>
      <c r="H538">
        <f t="shared" si="17"/>
        <v>1</v>
      </c>
      <c r="I538" s="6">
        <f t="shared" si="18"/>
        <v>7421.19</v>
      </c>
      <c r="L538" s="19"/>
      <c r="O538" s="2"/>
      <c r="P538" s="3"/>
      <c r="Q538" s="2"/>
      <c r="R538" s="2"/>
      <c r="S538" s="3"/>
      <c r="T538" s="3"/>
      <c r="U538" s="4"/>
      <c r="W538" s="6"/>
    </row>
    <row r="539" spans="1:23" ht="15" thickBot="1" x14ac:dyDescent="0.35">
      <c r="A539" s="2">
        <v>44</v>
      </c>
      <c r="B539" s="3" t="s">
        <v>14</v>
      </c>
      <c r="C539" s="2">
        <v>32</v>
      </c>
      <c r="D539" s="2">
        <v>2</v>
      </c>
      <c r="E539" s="3" t="s">
        <v>16</v>
      </c>
      <c r="F539" s="3" t="s">
        <v>7</v>
      </c>
      <c r="G539" s="4">
        <v>8116.27</v>
      </c>
      <c r="H539">
        <f t="shared" si="17"/>
        <v>3</v>
      </c>
      <c r="I539" s="6">
        <f t="shared" si="18"/>
        <v>2705.4233333333336</v>
      </c>
      <c r="L539" s="19"/>
      <c r="O539" s="2"/>
      <c r="P539" s="3"/>
      <c r="Q539" s="2"/>
      <c r="R539" s="2"/>
      <c r="S539" s="3"/>
      <c r="T539" s="3"/>
      <c r="U539" s="4"/>
      <c r="W539" s="6"/>
    </row>
    <row r="540" spans="1:23" ht="15" thickBot="1" x14ac:dyDescent="0.35">
      <c r="A540" s="2">
        <v>44</v>
      </c>
      <c r="B540" s="3" t="s">
        <v>14</v>
      </c>
      <c r="C540" s="2">
        <v>22.1</v>
      </c>
      <c r="D540" s="2">
        <v>2</v>
      </c>
      <c r="E540" s="3" t="s">
        <v>16</v>
      </c>
      <c r="F540" s="3" t="s">
        <v>9</v>
      </c>
      <c r="G540" s="4">
        <v>8302.5400000000009</v>
      </c>
      <c r="H540">
        <f t="shared" si="17"/>
        <v>3</v>
      </c>
      <c r="I540" s="6">
        <f t="shared" si="18"/>
        <v>2767.5133333333338</v>
      </c>
      <c r="L540" s="19"/>
      <c r="O540" s="2"/>
      <c r="P540" s="3"/>
      <c r="Q540" s="2"/>
      <c r="R540" s="2"/>
      <c r="S540" s="3"/>
      <c r="T540" s="3"/>
      <c r="U540" s="4"/>
      <c r="W540" s="6"/>
    </row>
    <row r="541" spans="1:23" ht="15" thickBot="1" x14ac:dyDescent="0.35">
      <c r="A541" s="2">
        <v>44</v>
      </c>
      <c r="B541" s="3" t="s">
        <v>15</v>
      </c>
      <c r="C541" s="2">
        <v>20.2</v>
      </c>
      <c r="D541" s="2">
        <v>1</v>
      </c>
      <c r="E541" s="3" t="s">
        <v>17</v>
      </c>
      <c r="F541" s="3" t="s">
        <v>9</v>
      </c>
      <c r="G541" s="4">
        <v>19594.810000000001</v>
      </c>
      <c r="H541">
        <f t="shared" si="17"/>
        <v>2</v>
      </c>
      <c r="I541" s="6">
        <f t="shared" si="18"/>
        <v>9797.4050000000007</v>
      </c>
      <c r="L541" s="19"/>
      <c r="O541" s="2"/>
      <c r="P541" s="3"/>
      <c r="Q541" s="2"/>
      <c r="R541" s="2"/>
      <c r="S541" s="3"/>
      <c r="T541" s="3"/>
      <c r="U541" s="4"/>
      <c r="W541" s="6"/>
    </row>
    <row r="542" spans="1:23" ht="15" thickBot="1" x14ac:dyDescent="0.35">
      <c r="A542" s="2">
        <v>44</v>
      </c>
      <c r="B542" s="3" t="s">
        <v>15</v>
      </c>
      <c r="C542" s="2">
        <v>38.1</v>
      </c>
      <c r="D542" s="2">
        <v>0</v>
      </c>
      <c r="E542" s="3" t="s">
        <v>17</v>
      </c>
      <c r="F542" s="3" t="s">
        <v>10</v>
      </c>
      <c r="G542" s="4">
        <v>48885.14</v>
      </c>
      <c r="H542">
        <f t="shared" si="17"/>
        <v>1</v>
      </c>
      <c r="I542" s="6">
        <f t="shared" si="18"/>
        <v>48885.14</v>
      </c>
      <c r="L542" s="19"/>
      <c r="O542" s="2"/>
      <c r="P542" s="3"/>
      <c r="Q542" s="2"/>
      <c r="R542" s="2"/>
      <c r="S542" s="3"/>
      <c r="T542" s="3"/>
      <c r="U542" s="4"/>
      <c r="W542" s="6"/>
    </row>
    <row r="543" spans="1:23" ht="15" thickBot="1" x14ac:dyDescent="0.35">
      <c r="A543" s="2">
        <v>44</v>
      </c>
      <c r="B543" s="3" t="s">
        <v>15</v>
      </c>
      <c r="C543" s="2">
        <v>24</v>
      </c>
      <c r="D543" s="2">
        <v>2</v>
      </c>
      <c r="E543" s="3" t="s">
        <v>16</v>
      </c>
      <c r="F543" s="3" t="s">
        <v>10</v>
      </c>
      <c r="G543" s="4">
        <v>8211.1</v>
      </c>
      <c r="H543">
        <f t="shared" si="17"/>
        <v>3</v>
      </c>
      <c r="I543" s="6">
        <f t="shared" si="18"/>
        <v>2737.0333333333333</v>
      </c>
      <c r="L543" s="19"/>
      <c r="O543" s="2"/>
      <c r="P543" s="3"/>
      <c r="Q543" s="2"/>
      <c r="R543" s="2"/>
      <c r="S543" s="3"/>
      <c r="T543" s="3"/>
      <c r="U543" s="4"/>
      <c r="W543" s="6"/>
    </row>
    <row r="544" spans="1:23" ht="15" thickBot="1" x14ac:dyDescent="0.35">
      <c r="A544" s="2">
        <v>44</v>
      </c>
      <c r="B544" s="3" t="s">
        <v>15</v>
      </c>
      <c r="C544" s="2">
        <v>39</v>
      </c>
      <c r="D544" s="2">
        <v>0</v>
      </c>
      <c r="E544" s="3" t="s">
        <v>17</v>
      </c>
      <c r="F544" s="3" t="s">
        <v>7</v>
      </c>
      <c r="G544" s="4">
        <v>42983.46</v>
      </c>
      <c r="H544">
        <f t="shared" si="17"/>
        <v>1</v>
      </c>
      <c r="I544" s="6">
        <f t="shared" si="18"/>
        <v>42983.46</v>
      </c>
      <c r="L544" s="19"/>
      <c r="O544" s="2"/>
      <c r="P544" s="3"/>
      <c r="Q544" s="2"/>
      <c r="R544" s="2"/>
      <c r="S544" s="3"/>
      <c r="T544" s="3"/>
      <c r="U544" s="4"/>
      <c r="W544" s="6"/>
    </row>
    <row r="545" spans="1:23" ht="15" thickBot="1" x14ac:dyDescent="0.35">
      <c r="A545" s="2">
        <v>44</v>
      </c>
      <c r="B545" s="3" t="s">
        <v>15</v>
      </c>
      <c r="C545" s="2">
        <v>43.9</v>
      </c>
      <c r="D545" s="2">
        <v>2</v>
      </c>
      <c r="E545" s="3" t="s">
        <v>17</v>
      </c>
      <c r="F545" s="3" t="s">
        <v>10</v>
      </c>
      <c r="G545" s="4">
        <v>46200.99</v>
      </c>
      <c r="H545">
        <f t="shared" si="17"/>
        <v>3</v>
      </c>
      <c r="I545" s="6">
        <f t="shared" si="18"/>
        <v>15400.33</v>
      </c>
      <c r="L545" s="19"/>
      <c r="O545" s="2"/>
      <c r="P545" s="3"/>
      <c r="Q545" s="2"/>
      <c r="R545" s="2"/>
      <c r="S545" s="3"/>
      <c r="T545" s="3"/>
      <c r="U545" s="4"/>
      <c r="W545" s="6"/>
    </row>
    <row r="546" spans="1:23" ht="15" thickBot="1" x14ac:dyDescent="0.35">
      <c r="A546" s="2">
        <v>44</v>
      </c>
      <c r="B546" s="3" t="s">
        <v>15</v>
      </c>
      <c r="C546" s="2">
        <v>36.5</v>
      </c>
      <c r="D546" s="2">
        <v>0</v>
      </c>
      <c r="E546" s="3" t="s">
        <v>16</v>
      </c>
      <c r="F546" s="3" t="s">
        <v>9</v>
      </c>
      <c r="G546" s="4">
        <v>12797.21</v>
      </c>
      <c r="H546">
        <f t="shared" si="17"/>
        <v>1</v>
      </c>
      <c r="I546" s="6">
        <f t="shared" si="18"/>
        <v>12797.21</v>
      </c>
      <c r="L546" s="19"/>
      <c r="O546" s="2"/>
      <c r="P546" s="3"/>
      <c r="Q546" s="2"/>
      <c r="R546" s="2"/>
      <c r="S546" s="3"/>
      <c r="T546" s="3"/>
      <c r="U546" s="4"/>
      <c r="W546" s="6"/>
    </row>
    <row r="547" spans="1:23" ht="15" thickBot="1" x14ac:dyDescent="0.35">
      <c r="A547" s="2">
        <v>44</v>
      </c>
      <c r="B547" s="3" t="s">
        <v>15</v>
      </c>
      <c r="C547" s="2">
        <v>29.8</v>
      </c>
      <c r="D547" s="2">
        <v>2</v>
      </c>
      <c r="E547" s="3" t="s">
        <v>16</v>
      </c>
      <c r="F547" s="3" t="s">
        <v>10</v>
      </c>
      <c r="G547" s="4">
        <v>8219.2000000000007</v>
      </c>
      <c r="H547">
        <f t="shared" si="17"/>
        <v>3</v>
      </c>
      <c r="I547" s="6">
        <f t="shared" si="18"/>
        <v>2739.7333333333336</v>
      </c>
      <c r="L547" s="19"/>
      <c r="O547" s="2"/>
      <c r="P547" s="3"/>
      <c r="Q547" s="2"/>
      <c r="R547" s="2"/>
      <c r="S547" s="3"/>
      <c r="T547" s="3"/>
      <c r="U547" s="4"/>
      <c r="W547" s="6"/>
    </row>
    <row r="548" spans="1:23" ht="15" thickBot="1" x14ac:dyDescent="0.35">
      <c r="A548" s="2">
        <v>44</v>
      </c>
      <c r="B548" s="3" t="s">
        <v>14</v>
      </c>
      <c r="C548" s="2">
        <v>21.9</v>
      </c>
      <c r="D548" s="2">
        <v>3</v>
      </c>
      <c r="E548" s="3" t="s">
        <v>16</v>
      </c>
      <c r="F548" s="3" t="s">
        <v>9</v>
      </c>
      <c r="G548" s="4">
        <v>8891.14</v>
      </c>
      <c r="H548">
        <f t="shared" si="17"/>
        <v>4</v>
      </c>
      <c r="I548" s="6">
        <f t="shared" si="18"/>
        <v>2222.7849999999999</v>
      </c>
      <c r="L548" s="19"/>
      <c r="O548" s="2"/>
      <c r="P548" s="3"/>
      <c r="Q548" s="2"/>
      <c r="R548" s="2"/>
      <c r="S548" s="3"/>
      <c r="T548" s="3"/>
      <c r="U548" s="4"/>
      <c r="W548" s="6"/>
    </row>
    <row r="549" spans="1:23" ht="15" thickBot="1" x14ac:dyDescent="0.35">
      <c r="A549" s="2">
        <v>44</v>
      </c>
      <c r="B549" s="3" t="s">
        <v>15</v>
      </c>
      <c r="C549" s="2">
        <v>32.299999999999997</v>
      </c>
      <c r="D549" s="2">
        <v>1</v>
      </c>
      <c r="E549" s="3" t="s">
        <v>16</v>
      </c>
      <c r="F549" s="3" t="s">
        <v>10</v>
      </c>
      <c r="G549" s="4">
        <v>7633.72</v>
      </c>
      <c r="H549">
        <f t="shared" si="17"/>
        <v>2</v>
      </c>
      <c r="I549" s="6">
        <f t="shared" si="18"/>
        <v>3816.86</v>
      </c>
      <c r="L549" s="19"/>
      <c r="O549" s="2"/>
      <c r="P549" s="3"/>
      <c r="Q549" s="2"/>
      <c r="R549" s="2"/>
      <c r="S549" s="3"/>
      <c r="T549" s="3"/>
      <c r="U549" s="4"/>
      <c r="W549" s="6"/>
    </row>
    <row r="550" spans="1:23" ht="15" thickBot="1" x14ac:dyDescent="0.35">
      <c r="A550" s="2">
        <v>44</v>
      </c>
      <c r="B550" s="3" t="s">
        <v>15</v>
      </c>
      <c r="C550" s="2">
        <v>27.5</v>
      </c>
      <c r="D550" s="2">
        <v>1</v>
      </c>
      <c r="E550" s="3" t="s">
        <v>16</v>
      </c>
      <c r="F550" s="3" t="s">
        <v>8</v>
      </c>
      <c r="G550" s="4">
        <v>7626.99</v>
      </c>
      <c r="H550">
        <f t="shared" si="17"/>
        <v>2</v>
      </c>
      <c r="I550" s="6">
        <f t="shared" si="18"/>
        <v>3813.4949999999999</v>
      </c>
      <c r="L550" s="19"/>
      <c r="O550" s="2"/>
      <c r="P550" s="3"/>
      <c r="Q550" s="2"/>
      <c r="R550" s="2"/>
      <c r="S550" s="3"/>
      <c r="T550" s="3"/>
      <c r="U550" s="4"/>
      <c r="W550" s="6"/>
    </row>
    <row r="551" spans="1:23" ht="15" thickBot="1" x14ac:dyDescent="0.35">
      <c r="A551" s="2">
        <v>44</v>
      </c>
      <c r="B551" s="3" t="s">
        <v>14</v>
      </c>
      <c r="C551" s="2">
        <v>29.7</v>
      </c>
      <c r="D551" s="2">
        <v>2</v>
      </c>
      <c r="E551" s="3" t="s">
        <v>16</v>
      </c>
      <c r="F551" s="3" t="s">
        <v>9</v>
      </c>
      <c r="G551" s="4">
        <v>32108.66</v>
      </c>
      <c r="H551">
        <f t="shared" si="17"/>
        <v>3</v>
      </c>
      <c r="I551" s="6">
        <f t="shared" si="18"/>
        <v>10702.886666666667</v>
      </c>
      <c r="L551" s="19"/>
      <c r="O551" s="2"/>
      <c r="P551" s="3"/>
      <c r="Q551" s="2"/>
      <c r="R551" s="2"/>
      <c r="S551" s="3"/>
      <c r="T551" s="3"/>
      <c r="U551" s="4"/>
      <c r="W551" s="6"/>
    </row>
    <row r="552" spans="1:23" ht="15" thickBot="1" x14ac:dyDescent="0.35">
      <c r="A552" s="2">
        <v>44</v>
      </c>
      <c r="B552" s="3" t="s">
        <v>14</v>
      </c>
      <c r="C552" s="2">
        <v>30.2</v>
      </c>
      <c r="D552" s="2">
        <v>2</v>
      </c>
      <c r="E552" s="3" t="s">
        <v>17</v>
      </c>
      <c r="F552" s="3" t="s">
        <v>8</v>
      </c>
      <c r="G552" s="4">
        <v>38998.550000000003</v>
      </c>
      <c r="H552">
        <f t="shared" si="17"/>
        <v>3</v>
      </c>
      <c r="I552" s="6">
        <f t="shared" si="18"/>
        <v>12999.516666666668</v>
      </c>
      <c r="L552" s="19"/>
      <c r="O552" s="2"/>
      <c r="P552" s="3"/>
      <c r="Q552" s="2"/>
      <c r="R552" s="2"/>
      <c r="S552" s="3"/>
      <c r="T552" s="3"/>
      <c r="U552" s="4"/>
      <c r="W552" s="6"/>
    </row>
    <row r="553" spans="1:23" ht="15" thickBot="1" x14ac:dyDescent="0.35">
      <c r="A553" s="2">
        <v>44</v>
      </c>
      <c r="B553" s="3" t="s">
        <v>14</v>
      </c>
      <c r="C553" s="2">
        <v>25.4</v>
      </c>
      <c r="D553" s="2">
        <v>1</v>
      </c>
      <c r="E553" s="3" t="s">
        <v>16</v>
      </c>
      <c r="F553" s="3" t="s">
        <v>7</v>
      </c>
      <c r="G553" s="4">
        <v>7518.03</v>
      </c>
      <c r="H553">
        <f t="shared" si="17"/>
        <v>2</v>
      </c>
      <c r="I553" s="6">
        <f t="shared" si="18"/>
        <v>3759.0149999999999</v>
      </c>
      <c r="L553" s="19"/>
      <c r="O553" s="2"/>
      <c r="P553" s="3"/>
      <c r="Q553" s="2"/>
      <c r="R553" s="2"/>
      <c r="S553" s="3"/>
      <c r="T553" s="3"/>
      <c r="U553" s="4"/>
      <c r="W553" s="6"/>
    </row>
    <row r="554" spans="1:23" ht="15" thickBot="1" x14ac:dyDescent="0.35">
      <c r="A554" s="2">
        <v>44</v>
      </c>
      <c r="B554" s="3" t="s">
        <v>15</v>
      </c>
      <c r="C554" s="2">
        <v>25.8</v>
      </c>
      <c r="D554" s="2">
        <v>1</v>
      </c>
      <c r="E554" s="3" t="s">
        <v>16</v>
      </c>
      <c r="F554" s="3" t="s">
        <v>8</v>
      </c>
      <c r="G554" s="4">
        <v>7624.63</v>
      </c>
      <c r="H554">
        <f t="shared" si="17"/>
        <v>2</v>
      </c>
      <c r="I554" s="6">
        <f t="shared" si="18"/>
        <v>3812.3150000000001</v>
      </c>
      <c r="L554" s="19"/>
      <c r="O554" s="2"/>
      <c r="P554" s="3"/>
      <c r="Q554" s="2"/>
      <c r="R554" s="2"/>
      <c r="S554" s="3"/>
      <c r="T554" s="3"/>
      <c r="U554" s="4"/>
      <c r="W554" s="6"/>
    </row>
    <row r="555" spans="1:23" ht="15" thickBot="1" x14ac:dyDescent="0.35">
      <c r="A555" s="2">
        <v>44</v>
      </c>
      <c r="B555" s="3" t="s">
        <v>15</v>
      </c>
      <c r="C555" s="2">
        <v>37</v>
      </c>
      <c r="D555" s="2">
        <v>1</v>
      </c>
      <c r="E555" s="3" t="s">
        <v>16</v>
      </c>
      <c r="F555" s="3" t="s">
        <v>7</v>
      </c>
      <c r="G555" s="4">
        <v>8023.14</v>
      </c>
      <c r="H555">
        <f t="shared" si="17"/>
        <v>2</v>
      </c>
      <c r="I555" s="6">
        <f t="shared" si="18"/>
        <v>4011.57</v>
      </c>
      <c r="L555" s="19"/>
      <c r="O555" s="2"/>
      <c r="P555" s="3"/>
      <c r="Q555" s="2"/>
      <c r="R555" s="2"/>
      <c r="S555" s="3"/>
      <c r="T555" s="3"/>
      <c r="U555" s="4"/>
      <c r="W555" s="6"/>
    </row>
    <row r="556" spans="1:23" ht="15" thickBot="1" x14ac:dyDescent="0.35">
      <c r="A556" s="2">
        <v>44</v>
      </c>
      <c r="B556" s="3" t="s">
        <v>15</v>
      </c>
      <c r="C556" s="2">
        <v>25</v>
      </c>
      <c r="D556" s="2">
        <v>1</v>
      </c>
      <c r="E556" s="3" t="s">
        <v>16</v>
      </c>
      <c r="F556" s="3" t="s">
        <v>8</v>
      </c>
      <c r="G556" s="4">
        <v>7623.52</v>
      </c>
      <c r="H556">
        <f t="shared" si="17"/>
        <v>2</v>
      </c>
      <c r="I556" s="6">
        <f t="shared" si="18"/>
        <v>3811.76</v>
      </c>
      <c r="L556" s="19"/>
      <c r="O556" s="2"/>
      <c r="P556" s="3"/>
      <c r="Q556" s="2"/>
      <c r="R556" s="2"/>
      <c r="S556" s="3"/>
      <c r="T556" s="3"/>
      <c r="U556" s="4"/>
      <c r="W556" s="6"/>
    </row>
    <row r="557" spans="1:23" ht="15" thickBot="1" x14ac:dyDescent="0.35">
      <c r="A557" s="2">
        <v>44</v>
      </c>
      <c r="B557" s="3" t="s">
        <v>14</v>
      </c>
      <c r="C557" s="2">
        <v>34.299999999999997</v>
      </c>
      <c r="D557" s="2">
        <v>1</v>
      </c>
      <c r="E557" s="3" t="s">
        <v>16</v>
      </c>
      <c r="F557" s="3" t="s">
        <v>10</v>
      </c>
      <c r="G557" s="4">
        <v>7147.47</v>
      </c>
      <c r="H557">
        <f t="shared" si="17"/>
        <v>2</v>
      </c>
      <c r="I557" s="6">
        <f t="shared" si="18"/>
        <v>3573.7350000000001</v>
      </c>
      <c r="L557" s="19"/>
      <c r="O557" s="2"/>
      <c r="P557" s="3"/>
      <c r="Q557" s="2"/>
      <c r="R557" s="2"/>
      <c r="S557" s="3"/>
      <c r="T557" s="3"/>
      <c r="U557" s="4"/>
      <c r="W557" s="6"/>
    </row>
    <row r="558" spans="1:23" ht="15" thickBot="1" x14ac:dyDescent="0.35">
      <c r="A558" s="2">
        <v>43</v>
      </c>
      <c r="B558" s="3" t="s">
        <v>14</v>
      </c>
      <c r="C558" s="2">
        <v>27.4</v>
      </c>
      <c r="D558" s="2">
        <v>3</v>
      </c>
      <c r="E558" s="3" t="s">
        <v>16</v>
      </c>
      <c r="F558" s="3" t="s">
        <v>9</v>
      </c>
      <c r="G558" s="4">
        <v>8606.2199999999993</v>
      </c>
      <c r="H558">
        <f t="shared" si="17"/>
        <v>4</v>
      </c>
      <c r="I558" s="6">
        <f t="shared" si="18"/>
        <v>2151.5549999999998</v>
      </c>
      <c r="L558" s="19"/>
      <c r="O558" s="2"/>
      <c r="P558" s="3"/>
      <c r="Q558" s="2"/>
      <c r="R558" s="2"/>
      <c r="S558" s="3"/>
      <c r="T558" s="3"/>
      <c r="U558" s="4"/>
      <c r="W558" s="6"/>
    </row>
    <row r="559" spans="1:23" ht="15" thickBot="1" x14ac:dyDescent="0.35">
      <c r="A559" s="2">
        <v>43</v>
      </c>
      <c r="B559" s="3" t="s">
        <v>14</v>
      </c>
      <c r="C559" s="2">
        <v>36</v>
      </c>
      <c r="D559" s="2">
        <v>3</v>
      </c>
      <c r="E559" s="3" t="s">
        <v>17</v>
      </c>
      <c r="F559" s="3" t="s">
        <v>10</v>
      </c>
      <c r="G559" s="4">
        <v>42124.52</v>
      </c>
      <c r="H559">
        <f t="shared" si="17"/>
        <v>4</v>
      </c>
      <c r="I559" s="6">
        <f t="shared" si="18"/>
        <v>10531.13</v>
      </c>
      <c r="L559" s="19"/>
      <c r="O559" s="2"/>
      <c r="P559" s="3"/>
      <c r="Q559" s="2"/>
      <c r="R559" s="2"/>
      <c r="S559" s="3"/>
      <c r="T559" s="3"/>
      <c r="U559" s="4"/>
      <c r="W559" s="6"/>
    </row>
    <row r="560" spans="1:23" ht="15" thickBot="1" x14ac:dyDescent="0.35">
      <c r="A560" s="2">
        <v>43</v>
      </c>
      <c r="B560" s="3" t="s">
        <v>15</v>
      </c>
      <c r="C560" s="2">
        <v>35.700000000000003</v>
      </c>
      <c r="D560" s="2">
        <v>2</v>
      </c>
      <c r="E560" s="3" t="s">
        <v>16</v>
      </c>
      <c r="F560" s="3" t="s">
        <v>9</v>
      </c>
      <c r="G560" s="4">
        <v>19144.580000000002</v>
      </c>
      <c r="H560">
        <f t="shared" si="17"/>
        <v>3</v>
      </c>
      <c r="I560" s="6">
        <f t="shared" si="18"/>
        <v>6381.5266666666676</v>
      </c>
      <c r="L560" s="19"/>
      <c r="O560" s="2"/>
      <c r="P560" s="3"/>
      <c r="Q560" s="2"/>
      <c r="R560" s="2"/>
      <c r="S560" s="3"/>
      <c r="T560" s="3"/>
      <c r="U560" s="4"/>
      <c r="W560" s="6"/>
    </row>
    <row r="561" spans="1:23" ht="15" thickBot="1" x14ac:dyDescent="0.35">
      <c r="A561" s="2">
        <v>43</v>
      </c>
      <c r="B561" s="3" t="s">
        <v>15</v>
      </c>
      <c r="C561" s="2">
        <v>34.4</v>
      </c>
      <c r="D561" s="2">
        <v>3</v>
      </c>
      <c r="E561" s="3" t="s">
        <v>16</v>
      </c>
      <c r="F561" s="3" t="s">
        <v>8</v>
      </c>
      <c r="G561" s="4">
        <v>8522</v>
      </c>
      <c r="H561">
        <f t="shared" si="17"/>
        <v>4</v>
      </c>
      <c r="I561" s="6">
        <f t="shared" si="18"/>
        <v>2130.5</v>
      </c>
      <c r="L561" s="19"/>
      <c r="O561" s="2"/>
      <c r="P561" s="3"/>
      <c r="Q561" s="2"/>
      <c r="R561" s="2"/>
      <c r="S561" s="3"/>
      <c r="T561" s="3"/>
      <c r="U561" s="4"/>
      <c r="W561" s="6"/>
    </row>
    <row r="562" spans="1:23" ht="15" thickBot="1" x14ac:dyDescent="0.35">
      <c r="A562" s="2">
        <v>43</v>
      </c>
      <c r="B562" s="3" t="s">
        <v>15</v>
      </c>
      <c r="C562" s="2">
        <v>35.6</v>
      </c>
      <c r="D562" s="2">
        <v>1</v>
      </c>
      <c r="E562" s="3" t="s">
        <v>16</v>
      </c>
      <c r="F562" s="3" t="s">
        <v>10</v>
      </c>
      <c r="G562" s="4">
        <v>7345.73</v>
      </c>
      <c r="H562">
        <f t="shared" si="17"/>
        <v>2</v>
      </c>
      <c r="I562" s="6">
        <f t="shared" si="18"/>
        <v>3672.8649999999998</v>
      </c>
      <c r="L562" s="19"/>
      <c r="O562" s="2"/>
      <c r="P562" s="3"/>
      <c r="Q562" s="2"/>
      <c r="R562" s="2"/>
      <c r="S562" s="3"/>
      <c r="T562" s="3"/>
      <c r="U562" s="4"/>
      <c r="W562" s="6"/>
    </row>
    <row r="563" spans="1:23" ht="15" thickBot="1" x14ac:dyDescent="0.35">
      <c r="A563" s="2">
        <v>43</v>
      </c>
      <c r="B563" s="3" t="s">
        <v>14</v>
      </c>
      <c r="C563" s="2">
        <v>26</v>
      </c>
      <c r="D563" s="2">
        <v>0</v>
      </c>
      <c r="E563" s="3" t="s">
        <v>16</v>
      </c>
      <c r="F563" s="3" t="s">
        <v>9</v>
      </c>
      <c r="G563" s="4">
        <v>6837.37</v>
      </c>
      <c r="H563">
        <f t="shared" si="17"/>
        <v>1</v>
      </c>
      <c r="I563" s="6">
        <f t="shared" si="18"/>
        <v>6837.37</v>
      </c>
      <c r="L563" s="19"/>
      <c r="O563" s="2"/>
      <c r="P563" s="3"/>
      <c r="Q563" s="2"/>
      <c r="R563" s="2"/>
      <c r="S563" s="3"/>
      <c r="T563" s="3"/>
      <c r="U563" s="4"/>
      <c r="W563" s="6"/>
    </row>
    <row r="564" spans="1:23" ht="15" thickBot="1" x14ac:dyDescent="0.35">
      <c r="A564" s="2">
        <v>43</v>
      </c>
      <c r="B564" s="3" t="s">
        <v>15</v>
      </c>
      <c r="C564" s="2">
        <v>46.2</v>
      </c>
      <c r="D564" s="2">
        <v>0</v>
      </c>
      <c r="E564" s="3" t="s">
        <v>17</v>
      </c>
      <c r="F564" s="3" t="s">
        <v>10</v>
      </c>
      <c r="G564" s="4">
        <v>45863.21</v>
      </c>
      <c r="H564">
        <f t="shared" si="17"/>
        <v>1</v>
      </c>
      <c r="I564" s="6">
        <f t="shared" si="18"/>
        <v>45863.21</v>
      </c>
      <c r="L564" s="19"/>
      <c r="O564" s="2"/>
      <c r="P564" s="3"/>
      <c r="Q564" s="2"/>
      <c r="R564" s="2"/>
      <c r="S564" s="3"/>
      <c r="T564" s="3"/>
      <c r="U564" s="4"/>
      <c r="W564" s="6"/>
    </row>
    <row r="565" spans="1:23" ht="15" thickBot="1" x14ac:dyDescent="0.35">
      <c r="A565" s="2">
        <v>43</v>
      </c>
      <c r="B565" s="3" t="s">
        <v>14</v>
      </c>
      <c r="C565" s="2">
        <v>32.6</v>
      </c>
      <c r="D565" s="2">
        <v>2</v>
      </c>
      <c r="E565" s="3" t="s">
        <v>16</v>
      </c>
      <c r="F565" s="3" t="s">
        <v>8</v>
      </c>
      <c r="G565" s="4">
        <v>7441.5</v>
      </c>
      <c r="H565">
        <f t="shared" si="17"/>
        <v>3</v>
      </c>
      <c r="I565" s="6">
        <f t="shared" si="18"/>
        <v>2480.5</v>
      </c>
      <c r="L565" s="19"/>
      <c r="O565" s="2"/>
      <c r="P565" s="3"/>
      <c r="Q565" s="2"/>
      <c r="R565" s="2"/>
      <c r="S565" s="3"/>
      <c r="T565" s="3"/>
      <c r="U565" s="4"/>
      <c r="W565" s="6"/>
    </row>
    <row r="566" spans="1:23" ht="15" thickBot="1" x14ac:dyDescent="0.35">
      <c r="A566" s="2">
        <v>43</v>
      </c>
      <c r="B566" s="3" t="s">
        <v>14</v>
      </c>
      <c r="C566" s="2">
        <v>35.299999999999997</v>
      </c>
      <c r="D566" s="2">
        <v>2</v>
      </c>
      <c r="E566" s="3" t="s">
        <v>16</v>
      </c>
      <c r="F566" s="3" t="s">
        <v>10</v>
      </c>
      <c r="G566" s="4">
        <v>18806.150000000001</v>
      </c>
      <c r="H566">
        <f t="shared" si="17"/>
        <v>3</v>
      </c>
      <c r="I566" s="6">
        <f t="shared" si="18"/>
        <v>6268.7166666666672</v>
      </c>
      <c r="L566" s="19"/>
      <c r="O566" s="2"/>
      <c r="P566" s="3"/>
      <c r="Q566" s="2"/>
      <c r="R566" s="2"/>
      <c r="S566" s="3"/>
      <c r="T566" s="3"/>
      <c r="U566" s="4"/>
      <c r="W566" s="6"/>
    </row>
    <row r="567" spans="1:23" ht="15" thickBot="1" x14ac:dyDescent="0.35">
      <c r="A567" s="2">
        <v>43</v>
      </c>
      <c r="B567" s="3" t="s">
        <v>14</v>
      </c>
      <c r="C567" s="2">
        <v>38.1</v>
      </c>
      <c r="D567" s="2">
        <v>2</v>
      </c>
      <c r="E567" s="3" t="s">
        <v>17</v>
      </c>
      <c r="F567" s="3" t="s">
        <v>10</v>
      </c>
      <c r="G567" s="4">
        <v>42560.43</v>
      </c>
      <c r="H567">
        <f t="shared" si="17"/>
        <v>3</v>
      </c>
      <c r="I567" s="6">
        <f t="shared" si="18"/>
        <v>14186.81</v>
      </c>
      <c r="L567" s="19"/>
      <c r="O567" s="2"/>
      <c r="P567" s="3"/>
      <c r="Q567" s="2"/>
      <c r="R567" s="2"/>
      <c r="S567" s="3"/>
      <c r="T567" s="3"/>
      <c r="U567" s="4"/>
      <c r="W567" s="6"/>
    </row>
    <row r="568" spans="1:23" ht="15" thickBot="1" x14ac:dyDescent="0.35">
      <c r="A568" s="2">
        <v>43</v>
      </c>
      <c r="B568" s="3" t="s">
        <v>15</v>
      </c>
      <c r="C568" s="2">
        <v>30.7</v>
      </c>
      <c r="D568" s="2">
        <v>2</v>
      </c>
      <c r="E568" s="3" t="s">
        <v>16</v>
      </c>
      <c r="F568" s="3" t="s">
        <v>7</v>
      </c>
      <c r="G568" s="4">
        <v>8310.84</v>
      </c>
      <c r="H568">
        <f t="shared" si="17"/>
        <v>3</v>
      </c>
      <c r="I568" s="6">
        <f t="shared" si="18"/>
        <v>2770.28</v>
      </c>
      <c r="L568" s="19"/>
      <c r="O568" s="2"/>
      <c r="P568" s="3"/>
      <c r="Q568" s="2"/>
      <c r="R568" s="2"/>
      <c r="S568" s="3"/>
      <c r="T568" s="3"/>
      <c r="U568" s="4"/>
      <c r="W568" s="6"/>
    </row>
    <row r="569" spans="1:23" ht="15" thickBot="1" x14ac:dyDescent="0.35">
      <c r="A569" s="2">
        <v>43</v>
      </c>
      <c r="B569" s="3" t="s">
        <v>14</v>
      </c>
      <c r="C569" s="2">
        <v>30.1</v>
      </c>
      <c r="D569" s="2">
        <v>1</v>
      </c>
      <c r="E569" s="3" t="s">
        <v>16</v>
      </c>
      <c r="F569" s="3" t="s">
        <v>8</v>
      </c>
      <c r="G569" s="4">
        <v>6849.03</v>
      </c>
      <c r="H569">
        <f t="shared" si="17"/>
        <v>2</v>
      </c>
      <c r="I569" s="6">
        <f t="shared" si="18"/>
        <v>3424.5149999999999</v>
      </c>
      <c r="L569" s="19"/>
      <c r="O569" s="2"/>
      <c r="P569" s="3"/>
      <c r="Q569" s="2"/>
      <c r="R569" s="2"/>
      <c r="S569" s="3"/>
      <c r="T569" s="3"/>
      <c r="U569" s="4"/>
      <c r="W569" s="6"/>
    </row>
    <row r="570" spans="1:23" ht="15" thickBot="1" x14ac:dyDescent="0.35">
      <c r="A570" s="2">
        <v>43</v>
      </c>
      <c r="B570" s="3" t="s">
        <v>15</v>
      </c>
      <c r="C570" s="2">
        <v>20</v>
      </c>
      <c r="D570" s="2">
        <v>2</v>
      </c>
      <c r="E570" s="3" t="s">
        <v>17</v>
      </c>
      <c r="F570" s="3" t="s">
        <v>9</v>
      </c>
      <c r="G570" s="4">
        <v>19798.05</v>
      </c>
      <c r="H570">
        <f t="shared" si="17"/>
        <v>3</v>
      </c>
      <c r="I570" s="6">
        <f t="shared" si="18"/>
        <v>6599.3499999999995</v>
      </c>
      <c r="L570" s="19"/>
      <c r="O570" s="2"/>
      <c r="P570" s="3"/>
      <c r="Q570" s="2"/>
      <c r="R570" s="2"/>
      <c r="S570" s="3"/>
      <c r="T570" s="3"/>
      <c r="U570" s="4"/>
      <c r="W570" s="6"/>
    </row>
    <row r="571" spans="1:23" ht="15" thickBot="1" x14ac:dyDescent="0.35">
      <c r="A571" s="2">
        <v>43</v>
      </c>
      <c r="B571" s="3" t="s">
        <v>15</v>
      </c>
      <c r="C571" s="2">
        <v>26.9</v>
      </c>
      <c r="D571" s="2">
        <v>0</v>
      </c>
      <c r="E571" s="3" t="s">
        <v>17</v>
      </c>
      <c r="F571" s="3" t="s">
        <v>7</v>
      </c>
      <c r="G571" s="4">
        <v>21774.32</v>
      </c>
      <c r="H571">
        <f t="shared" si="17"/>
        <v>1</v>
      </c>
      <c r="I571" s="6">
        <f t="shared" si="18"/>
        <v>21774.32</v>
      </c>
      <c r="L571" s="19"/>
      <c r="O571" s="2"/>
      <c r="P571" s="3"/>
      <c r="Q571" s="2"/>
      <c r="R571" s="2"/>
      <c r="S571" s="3"/>
      <c r="T571" s="3"/>
      <c r="U571" s="4"/>
      <c r="W571" s="6"/>
    </row>
    <row r="572" spans="1:23" ht="15" thickBot="1" x14ac:dyDescent="0.35">
      <c r="A572" s="2">
        <v>43</v>
      </c>
      <c r="B572" s="3" t="s">
        <v>14</v>
      </c>
      <c r="C572" s="2">
        <v>23.2</v>
      </c>
      <c r="D572" s="2">
        <v>0</v>
      </c>
      <c r="E572" s="3" t="s">
        <v>16</v>
      </c>
      <c r="F572" s="3" t="s">
        <v>8</v>
      </c>
      <c r="G572" s="4">
        <v>6250.44</v>
      </c>
      <c r="H572">
        <f t="shared" si="17"/>
        <v>1</v>
      </c>
      <c r="I572" s="6">
        <f t="shared" si="18"/>
        <v>6250.44</v>
      </c>
      <c r="L572" s="19"/>
      <c r="O572" s="2"/>
      <c r="P572" s="3"/>
      <c r="Q572" s="2"/>
      <c r="R572" s="2"/>
      <c r="S572" s="3"/>
      <c r="T572" s="3"/>
      <c r="U572" s="4"/>
      <c r="W572" s="6"/>
    </row>
    <row r="573" spans="1:23" ht="15" thickBot="1" x14ac:dyDescent="0.35">
      <c r="A573" s="2">
        <v>43</v>
      </c>
      <c r="B573" s="3" t="s">
        <v>14</v>
      </c>
      <c r="C573" s="2">
        <v>35</v>
      </c>
      <c r="D573" s="2">
        <v>1</v>
      </c>
      <c r="E573" s="3" t="s">
        <v>17</v>
      </c>
      <c r="F573" s="3" t="s">
        <v>9</v>
      </c>
      <c r="G573" s="4">
        <v>41034.22</v>
      </c>
      <c r="H573">
        <f t="shared" si="17"/>
        <v>2</v>
      </c>
      <c r="I573" s="6">
        <f t="shared" si="18"/>
        <v>20517.11</v>
      </c>
      <c r="L573" s="19"/>
      <c r="O573" s="2"/>
      <c r="P573" s="3"/>
      <c r="Q573" s="2"/>
      <c r="R573" s="2"/>
      <c r="S573" s="3"/>
      <c r="T573" s="3"/>
      <c r="U573" s="4"/>
      <c r="W573" s="6"/>
    </row>
    <row r="574" spans="1:23" ht="15" thickBot="1" x14ac:dyDescent="0.35">
      <c r="A574" s="2">
        <v>43</v>
      </c>
      <c r="B574" s="3" t="s">
        <v>14</v>
      </c>
      <c r="C574" s="2">
        <v>30.1</v>
      </c>
      <c r="D574" s="2">
        <v>3</v>
      </c>
      <c r="E574" s="3" t="s">
        <v>16</v>
      </c>
      <c r="F574" s="3" t="s">
        <v>7</v>
      </c>
      <c r="G574" s="4">
        <v>8410.0499999999993</v>
      </c>
      <c r="H574">
        <f t="shared" si="17"/>
        <v>4</v>
      </c>
      <c r="I574" s="6">
        <f t="shared" si="18"/>
        <v>2102.5124999999998</v>
      </c>
      <c r="L574" s="19"/>
      <c r="O574" s="2"/>
      <c r="P574" s="3"/>
      <c r="Q574" s="2"/>
      <c r="R574" s="2"/>
      <c r="S574" s="3"/>
      <c r="T574" s="3"/>
      <c r="U574" s="4"/>
      <c r="W574" s="6"/>
    </row>
    <row r="575" spans="1:23" ht="15" thickBot="1" x14ac:dyDescent="0.35">
      <c r="A575" s="2">
        <v>43</v>
      </c>
      <c r="B575" s="3" t="s">
        <v>14</v>
      </c>
      <c r="C575" s="2">
        <v>20.100000000000001</v>
      </c>
      <c r="D575" s="2">
        <v>2</v>
      </c>
      <c r="E575" s="3" t="s">
        <v>17</v>
      </c>
      <c r="F575" s="3" t="s">
        <v>10</v>
      </c>
      <c r="G575" s="4">
        <v>18767.740000000002</v>
      </c>
      <c r="H575">
        <f t="shared" si="17"/>
        <v>3</v>
      </c>
      <c r="I575" s="6">
        <f t="shared" si="18"/>
        <v>6255.9133333333339</v>
      </c>
      <c r="L575" s="19"/>
      <c r="O575" s="2"/>
      <c r="P575" s="3"/>
      <c r="Q575" s="2"/>
      <c r="R575" s="2"/>
      <c r="S575" s="3"/>
      <c r="T575" s="3"/>
      <c r="U575" s="4"/>
      <c r="W575" s="6"/>
    </row>
    <row r="576" spans="1:23" ht="15" thickBot="1" x14ac:dyDescent="0.35">
      <c r="A576" s="2">
        <v>43</v>
      </c>
      <c r="B576" s="3" t="s">
        <v>15</v>
      </c>
      <c r="C576" s="2">
        <v>24.7</v>
      </c>
      <c r="D576" s="2">
        <v>2</v>
      </c>
      <c r="E576" s="3" t="s">
        <v>17</v>
      </c>
      <c r="F576" s="3" t="s">
        <v>7</v>
      </c>
      <c r="G576" s="4">
        <v>21880.82</v>
      </c>
      <c r="H576">
        <f t="shared" si="17"/>
        <v>3</v>
      </c>
      <c r="I576" s="6">
        <f t="shared" si="18"/>
        <v>7293.6066666666666</v>
      </c>
      <c r="L576" s="19"/>
      <c r="O576" s="2"/>
      <c r="P576" s="3"/>
      <c r="Q576" s="2"/>
      <c r="R576" s="2"/>
      <c r="S576" s="3"/>
      <c r="T576" s="3"/>
      <c r="U576" s="4"/>
      <c r="W576" s="6"/>
    </row>
    <row r="577" spans="1:23" ht="15" thickBot="1" x14ac:dyDescent="0.35">
      <c r="A577" s="2">
        <v>43</v>
      </c>
      <c r="B577" s="3" t="s">
        <v>15</v>
      </c>
      <c r="C577" s="2">
        <v>25.1</v>
      </c>
      <c r="D577" s="2">
        <v>0</v>
      </c>
      <c r="E577" s="3" t="s">
        <v>16</v>
      </c>
      <c r="F577" s="3" t="s">
        <v>9</v>
      </c>
      <c r="G577" s="4">
        <v>7325.05</v>
      </c>
      <c r="H577">
        <f t="shared" si="17"/>
        <v>1</v>
      </c>
      <c r="I577" s="6">
        <f t="shared" si="18"/>
        <v>7325.05</v>
      </c>
      <c r="L577" s="19"/>
      <c r="O577" s="2"/>
      <c r="P577" s="3"/>
      <c r="Q577" s="2"/>
      <c r="R577" s="2"/>
      <c r="S577" s="3"/>
      <c r="T577" s="3"/>
      <c r="U577" s="4"/>
      <c r="W577" s="6"/>
    </row>
    <row r="578" spans="1:23" ht="15" thickBot="1" x14ac:dyDescent="0.35">
      <c r="A578" s="2">
        <v>43</v>
      </c>
      <c r="B578" s="3" t="s">
        <v>15</v>
      </c>
      <c r="C578" s="2">
        <v>32.6</v>
      </c>
      <c r="D578" s="2">
        <v>3</v>
      </c>
      <c r="E578" s="3" t="s">
        <v>17</v>
      </c>
      <c r="F578" s="3" t="s">
        <v>10</v>
      </c>
      <c r="G578" s="4">
        <v>40941.29</v>
      </c>
      <c r="H578">
        <f t="shared" si="17"/>
        <v>4</v>
      </c>
      <c r="I578" s="6">
        <f t="shared" si="18"/>
        <v>10235.3225</v>
      </c>
      <c r="L578" s="19"/>
      <c r="O578" s="2"/>
      <c r="P578" s="3"/>
      <c r="Q578" s="2"/>
      <c r="R578" s="2"/>
      <c r="S578" s="3"/>
      <c r="T578" s="3"/>
      <c r="U578" s="4"/>
      <c r="W578" s="6"/>
    </row>
    <row r="579" spans="1:23" ht="15" thickBot="1" x14ac:dyDescent="0.35">
      <c r="A579" s="2">
        <v>43</v>
      </c>
      <c r="B579" s="3" t="s">
        <v>15</v>
      </c>
      <c r="C579" s="2">
        <v>34.6</v>
      </c>
      <c r="D579" s="2">
        <v>1</v>
      </c>
      <c r="E579" s="3" t="s">
        <v>16</v>
      </c>
      <c r="F579" s="3" t="s">
        <v>7</v>
      </c>
      <c r="G579" s="4">
        <v>7727.25</v>
      </c>
      <c r="H579">
        <f t="shared" ref="H579:H642" si="19">D579+1</f>
        <v>2</v>
      </c>
      <c r="I579" s="6">
        <f t="shared" ref="I579:I642" si="20">G579/H579</f>
        <v>3863.625</v>
      </c>
      <c r="L579" s="19"/>
      <c r="O579" s="2"/>
      <c r="P579" s="3"/>
      <c r="Q579" s="2"/>
      <c r="R579" s="2"/>
      <c r="S579" s="3"/>
      <c r="T579" s="3"/>
      <c r="U579" s="4"/>
      <c r="W579" s="6"/>
    </row>
    <row r="580" spans="1:23" ht="15" thickBot="1" x14ac:dyDescent="0.35">
      <c r="A580" s="2">
        <v>43</v>
      </c>
      <c r="B580" s="3" t="s">
        <v>15</v>
      </c>
      <c r="C580" s="2">
        <v>26.7</v>
      </c>
      <c r="D580" s="2">
        <v>2</v>
      </c>
      <c r="E580" s="3" t="s">
        <v>17</v>
      </c>
      <c r="F580" s="3" t="s">
        <v>8</v>
      </c>
      <c r="G580" s="4">
        <v>22478.6</v>
      </c>
      <c r="H580">
        <f t="shared" si="19"/>
        <v>3</v>
      </c>
      <c r="I580" s="6">
        <f t="shared" si="20"/>
        <v>7492.8666666666659</v>
      </c>
      <c r="L580" s="19"/>
      <c r="O580" s="2"/>
      <c r="P580" s="3"/>
      <c r="Q580" s="2"/>
      <c r="R580" s="2"/>
      <c r="S580" s="3"/>
      <c r="T580" s="3"/>
      <c r="U580" s="4"/>
      <c r="W580" s="6"/>
    </row>
    <row r="581" spans="1:23" ht="15" thickBot="1" x14ac:dyDescent="0.35">
      <c r="A581" s="2">
        <v>43</v>
      </c>
      <c r="B581" s="3" t="s">
        <v>15</v>
      </c>
      <c r="C581" s="2">
        <v>25.3</v>
      </c>
      <c r="D581" s="2">
        <v>1</v>
      </c>
      <c r="E581" s="3" t="s">
        <v>17</v>
      </c>
      <c r="F581" s="3" t="s">
        <v>9</v>
      </c>
      <c r="G581" s="4">
        <v>21771.34</v>
      </c>
      <c r="H581">
        <f t="shared" si="19"/>
        <v>2</v>
      </c>
      <c r="I581" s="6">
        <f t="shared" si="20"/>
        <v>10885.67</v>
      </c>
      <c r="L581" s="19"/>
      <c r="O581" s="2"/>
      <c r="P581" s="3"/>
      <c r="Q581" s="2"/>
      <c r="R581" s="2"/>
      <c r="S581" s="3"/>
      <c r="T581" s="3"/>
      <c r="U581" s="4"/>
      <c r="W581" s="6"/>
    </row>
    <row r="582" spans="1:23" ht="15" thickBot="1" x14ac:dyDescent="0.35">
      <c r="A582" s="2">
        <v>43</v>
      </c>
      <c r="B582" s="3" t="s">
        <v>15</v>
      </c>
      <c r="C582" s="2">
        <v>29.9</v>
      </c>
      <c r="D582" s="2">
        <v>1</v>
      </c>
      <c r="E582" s="3" t="s">
        <v>16</v>
      </c>
      <c r="F582" s="3" t="s">
        <v>8</v>
      </c>
      <c r="G582" s="4">
        <v>7337.75</v>
      </c>
      <c r="H582">
        <f t="shared" si="19"/>
        <v>2</v>
      </c>
      <c r="I582" s="6">
        <f t="shared" si="20"/>
        <v>3668.875</v>
      </c>
      <c r="L582" s="19"/>
      <c r="O582" s="2"/>
      <c r="P582" s="3"/>
      <c r="Q582" s="2"/>
      <c r="R582" s="2"/>
      <c r="S582" s="3"/>
      <c r="T582" s="3"/>
      <c r="U582" s="4"/>
      <c r="W582" s="6"/>
    </row>
    <row r="583" spans="1:23" ht="15" thickBot="1" x14ac:dyDescent="0.35">
      <c r="A583" s="2">
        <v>43</v>
      </c>
      <c r="B583" s="3" t="s">
        <v>14</v>
      </c>
      <c r="C583" s="2">
        <v>25.5</v>
      </c>
      <c r="D583" s="2">
        <v>5</v>
      </c>
      <c r="E583" s="3" t="s">
        <v>16</v>
      </c>
      <c r="F583" s="3" t="s">
        <v>10</v>
      </c>
      <c r="G583" s="4">
        <v>14478.33</v>
      </c>
      <c r="H583">
        <f t="shared" si="19"/>
        <v>6</v>
      </c>
      <c r="I583" s="6">
        <f t="shared" si="20"/>
        <v>2413.0549999999998</v>
      </c>
      <c r="L583" s="19"/>
      <c r="O583" s="2"/>
      <c r="P583" s="3"/>
      <c r="Q583" s="2"/>
      <c r="R583" s="2"/>
      <c r="S583" s="3"/>
      <c r="T583" s="3"/>
      <c r="U583" s="4"/>
      <c r="W583" s="6"/>
    </row>
    <row r="584" spans="1:23" ht="15" thickBot="1" x14ac:dyDescent="0.35">
      <c r="A584" s="2">
        <v>43</v>
      </c>
      <c r="B584" s="3" t="s">
        <v>14</v>
      </c>
      <c r="C584" s="2">
        <v>27.8</v>
      </c>
      <c r="D584" s="2">
        <v>0</v>
      </c>
      <c r="E584" s="3" t="s">
        <v>17</v>
      </c>
      <c r="F584" s="3" t="s">
        <v>8</v>
      </c>
      <c r="G584" s="4">
        <v>37829.72</v>
      </c>
      <c r="H584">
        <f t="shared" si="19"/>
        <v>1</v>
      </c>
      <c r="I584" s="6">
        <f t="shared" si="20"/>
        <v>37829.72</v>
      </c>
      <c r="L584" s="19"/>
      <c r="O584" s="2"/>
      <c r="P584" s="3"/>
      <c r="Q584" s="2"/>
      <c r="R584" s="2"/>
      <c r="S584" s="3"/>
      <c r="T584" s="3"/>
      <c r="U584" s="4"/>
      <c r="W584" s="6"/>
    </row>
    <row r="585" spans="1:23" ht="15" thickBot="1" x14ac:dyDescent="0.35">
      <c r="A585" s="2">
        <v>42</v>
      </c>
      <c r="B585" s="3" t="s">
        <v>15</v>
      </c>
      <c r="C585" s="2">
        <v>23.4</v>
      </c>
      <c r="D585" s="2">
        <v>0</v>
      </c>
      <c r="E585" s="3" t="s">
        <v>17</v>
      </c>
      <c r="F585" s="3" t="s">
        <v>9</v>
      </c>
      <c r="G585" s="4">
        <v>19964.75</v>
      </c>
      <c r="H585">
        <f t="shared" si="19"/>
        <v>1</v>
      </c>
      <c r="I585" s="6">
        <f t="shared" si="20"/>
        <v>19964.75</v>
      </c>
      <c r="L585" s="19"/>
      <c r="O585" s="2"/>
      <c r="P585" s="3"/>
      <c r="Q585" s="2"/>
      <c r="R585" s="2"/>
      <c r="S585" s="3"/>
      <c r="T585" s="3"/>
      <c r="U585" s="4"/>
      <c r="W585" s="6"/>
    </row>
    <row r="586" spans="1:23" ht="15" thickBot="1" x14ac:dyDescent="0.35">
      <c r="A586" s="2">
        <v>42</v>
      </c>
      <c r="B586" s="3" t="s">
        <v>15</v>
      </c>
      <c r="C586" s="2">
        <v>26.6</v>
      </c>
      <c r="D586" s="2">
        <v>0</v>
      </c>
      <c r="E586" s="3" t="s">
        <v>17</v>
      </c>
      <c r="F586" s="3" t="s">
        <v>7</v>
      </c>
      <c r="G586" s="4">
        <v>21348.71</v>
      </c>
      <c r="H586">
        <f t="shared" si="19"/>
        <v>1</v>
      </c>
      <c r="I586" s="6">
        <f t="shared" si="20"/>
        <v>21348.71</v>
      </c>
      <c r="L586" s="19"/>
      <c r="O586" s="2"/>
      <c r="P586" s="3"/>
      <c r="Q586" s="2"/>
      <c r="R586" s="2"/>
      <c r="S586" s="3"/>
      <c r="T586" s="3"/>
      <c r="U586" s="4"/>
      <c r="W586" s="6"/>
    </row>
    <row r="587" spans="1:23" ht="15" thickBot="1" x14ac:dyDescent="0.35">
      <c r="A587" s="2">
        <v>42</v>
      </c>
      <c r="B587" s="3" t="s">
        <v>14</v>
      </c>
      <c r="C587" s="2">
        <v>24.6</v>
      </c>
      <c r="D587" s="2">
        <v>0</v>
      </c>
      <c r="E587" s="3" t="s">
        <v>17</v>
      </c>
      <c r="F587" s="3" t="s">
        <v>10</v>
      </c>
      <c r="G587" s="4">
        <v>19515.54</v>
      </c>
      <c r="H587">
        <f t="shared" si="19"/>
        <v>1</v>
      </c>
      <c r="I587" s="6">
        <f t="shared" si="20"/>
        <v>19515.54</v>
      </c>
      <c r="L587" s="19"/>
      <c r="O587" s="2"/>
      <c r="P587" s="3"/>
      <c r="Q587" s="2"/>
      <c r="R587" s="2"/>
      <c r="S587" s="3"/>
      <c r="T587" s="3"/>
      <c r="U587" s="4"/>
      <c r="W587" s="6"/>
    </row>
    <row r="588" spans="1:23" ht="15" thickBot="1" x14ac:dyDescent="0.35">
      <c r="A588" s="2">
        <v>42</v>
      </c>
      <c r="B588" s="3" t="s">
        <v>15</v>
      </c>
      <c r="C588" s="2">
        <v>36.200000000000003</v>
      </c>
      <c r="D588" s="2">
        <v>1</v>
      </c>
      <c r="E588" s="3" t="s">
        <v>16</v>
      </c>
      <c r="F588" s="3" t="s">
        <v>7</v>
      </c>
      <c r="G588" s="4">
        <v>7443.64</v>
      </c>
      <c r="H588">
        <f t="shared" si="19"/>
        <v>2</v>
      </c>
      <c r="I588" s="6">
        <f t="shared" si="20"/>
        <v>3721.82</v>
      </c>
      <c r="L588" s="19"/>
      <c r="O588" s="2"/>
      <c r="P588" s="3"/>
      <c r="Q588" s="2"/>
      <c r="R588" s="2"/>
      <c r="S588" s="3"/>
      <c r="T588" s="3"/>
      <c r="U588" s="4"/>
      <c r="W588" s="6"/>
    </row>
    <row r="589" spans="1:23" ht="15" thickBot="1" x14ac:dyDescent="0.35">
      <c r="A589" s="2">
        <v>42</v>
      </c>
      <c r="B589" s="3" t="s">
        <v>15</v>
      </c>
      <c r="C589" s="2">
        <v>25</v>
      </c>
      <c r="D589" s="2">
        <v>2</v>
      </c>
      <c r="E589" s="3" t="s">
        <v>16</v>
      </c>
      <c r="F589" s="3" t="s">
        <v>7</v>
      </c>
      <c r="G589" s="4">
        <v>8017.06</v>
      </c>
      <c r="H589">
        <f t="shared" si="19"/>
        <v>3</v>
      </c>
      <c r="I589" s="6">
        <f t="shared" si="20"/>
        <v>2672.3533333333335</v>
      </c>
      <c r="L589" s="19"/>
      <c r="O589" s="2"/>
      <c r="P589" s="3"/>
      <c r="Q589" s="2"/>
      <c r="R589" s="2"/>
      <c r="S589" s="3"/>
      <c r="T589" s="3"/>
      <c r="U589" s="4"/>
      <c r="W589" s="6"/>
    </row>
    <row r="590" spans="1:23" ht="15" thickBot="1" x14ac:dyDescent="0.35">
      <c r="A590" s="2">
        <v>42</v>
      </c>
      <c r="B590" s="3" t="s">
        <v>15</v>
      </c>
      <c r="C590" s="2">
        <v>33.200000000000003</v>
      </c>
      <c r="D590" s="2">
        <v>1</v>
      </c>
      <c r="E590" s="3" t="s">
        <v>16</v>
      </c>
      <c r="F590" s="3" t="s">
        <v>9</v>
      </c>
      <c r="G590" s="4">
        <v>7639.42</v>
      </c>
      <c r="H590">
        <f t="shared" si="19"/>
        <v>2</v>
      </c>
      <c r="I590" s="6">
        <f t="shared" si="20"/>
        <v>3819.71</v>
      </c>
      <c r="L590" s="19"/>
      <c r="O590" s="2"/>
      <c r="P590" s="3"/>
      <c r="Q590" s="2"/>
      <c r="R590" s="2"/>
      <c r="S590" s="3"/>
      <c r="T590" s="3"/>
      <c r="U590" s="4"/>
      <c r="W590" s="6"/>
    </row>
    <row r="591" spans="1:23" ht="15" thickBot="1" x14ac:dyDescent="0.35">
      <c r="A591" s="2">
        <v>42</v>
      </c>
      <c r="B591" s="3" t="s">
        <v>14</v>
      </c>
      <c r="C591" s="2">
        <v>26.9</v>
      </c>
      <c r="D591" s="2">
        <v>0</v>
      </c>
      <c r="E591" s="3" t="s">
        <v>16</v>
      </c>
      <c r="F591" s="3" t="s">
        <v>8</v>
      </c>
      <c r="G591" s="4">
        <v>5969.72</v>
      </c>
      <c r="H591">
        <f t="shared" si="19"/>
        <v>1</v>
      </c>
      <c r="I591" s="6">
        <f t="shared" si="20"/>
        <v>5969.72</v>
      </c>
      <c r="L591" s="19"/>
      <c r="O591" s="2"/>
      <c r="P591" s="3"/>
      <c r="Q591" s="2"/>
      <c r="R591" s="2"/>
      <c r="S591" s="3"/>
      <c r="T591" s="3"/>
      <c r="U591" s="4"/>
      <c r="W591" s="6"/>
    </row>
    <row r="592" spans="1:23" ht="15" thickBot="1" x14ac:dyDescent="0.35">
      <c r="A592" s="2">
        <v>42</v>
      </c>
      <c r="B592" s="3" t="s">
        <v>14</v>
      </c>
      <c r="C592" s="2">
        <v>30</v>
      </c>
      <c r="D592" s="2">
        <v>0</v>
      </c>
      <c r="E592" s="3" t="s">
        <v>17</v>
      </c>
      <c r="F592" s="3" t="s">
        <v>8</v>
      </c>
      <c r="G592" s="4">
        <v>22144.03</v>
      </c>
      <c r="H592">
        <f t="shared" si="19"/>
        <v>1</v>
      </c>
      <c r="I592" s="6">
        <f t="shared" si="20"/>
        <v>22144.03</v>
      </c>
      <c r="L592" s="19"/>
      <c r="O592" s="2"/>
      <c r="P592" s="3"/>
      <c r="Q592" s="2"/>
      <c r="R592" s="2"/>
      <c r="S592" s="3"/>
      <c r="T592" s="3"/>
      <c r="U592" s="4"/>
      <c r="W592" s="6"/>
    </row>
    <row r="593" spans="1:23" ht="15" thickBot="1" x14ac:dyDescent="0.35">
      <c r="A593" s="2">
        <v>42</v>
      </c>
      <c r="B593" s="3" t="s">
        <v>14</v>
      </c>
      <c r="C593" s="2">
        <v>26.1</v>
      </c>
      <c r="D593" s="2">
        <v>1</v>
      </c>
      <c r="E593" s="3" t="s">
        <v>17</v>
      </c>
      <c r="F593" s="3" t="s">
        <v>10</v>
      </c>
      <c r="G593" s="4">
        <v>38245.589999999997</v>
      </c>
      <c r="H593">
        <f t="shared" si="19"/>
        <v>2</v>
      </c>
      <c r="I593" s="6">
        <f t="shared" si="20"/>
        <v>19122.794999999998</v>
      </c>
      <c r="L593" s="19"/>
      <c r="O593" s="2"/>
      <c r="P593" s="3"/>
      <c r="Q593" s="2"/>
      <c r="R593" s="2"/>
      <c r="S593" s="3"/>
      <c r="T593" s="3"/>
      <c r="U593" s="4"/>
      <c r="W593" s="6"/>
    </row>
    <row r="594" spans="1:23" ht="15" thickBot="1" x14ac:dyDescent="0.35">
      <c r="A594" s="2">
        <v>42</v>
      </c>
      <c r="B594" s="3" t="s">
        <v>15</v>
      </c>
      <c r="C594" s="2">
        <v>29.5</v>
      </c>
      <c r="D594" s="2">
        <v>2</v>
      </c>
      <c r="E594" s="3" t="s">
        <v>16</v>
      </c>
      <c r="F594" s="3" t="s">
        <v>10</v>
      </c>
      <c r="G594" s="4">
        <v>7640.31</v>
      </c>
      <c r="H594">
        <f t="shared" si="19"/>
        <v>3</v>
      </c>
      <c r="I594" s="6">
        <f t="shared" si="20"/>
        <v>2546.77</v>
      </c>
      <c r="L594" s="19"/>
      <c r="O594" s="2"/>
      <c r="P594" s="3"/>
      <c r="Q594" s="2"/>
      <c r="R594" s="2"/>
      <c r="S594" s="3"/>
      <c r="T594" s="3"/>
      <c r="U594" s="4"/>
      <c r="W594" s="6"/>
    </row>
    <row r="595" spans="1:23" ht="15" thickBot="1" x14ac:dyDescent="0.35">
      <c r="A595" s="2">
        <v>42</v>
      </c>
      <c r="B595" s="3" t="s">
        <v>14</v>
      </c>
      <c r="C595" s="2">
        <v>28.3</v>
      </c>
      <c r="D595" s="2">
        <v>3</v>
      </c>
      <c r="E595" s="3" t="s">
        <v>17</v>
      </c>
      <c r="F595" s="3" t="s">
        <v>7</v>
      </c>
      <c r="G595" s="4">
        <v>32787.46</v>
      </c>
      <c r="H595">
        <f t="shared" si="19"/>
        <v>4</v>
      </c>
      <c r="I595" s="6">
        <f t="shared" si="20"/>
        <v>8196.8649999999998</v>
      </c>
      <c r="L595" s="19"/>
      <c r="O595" s="2"/>
      <c r="P595" s="3"/>
      <c r="Q595" s="2"/>
      <c r="R595" s="2"/>
      <c r="S595" s="3"/>
      <c r="T595" s="3"/>
      <c r="U595" s="4"/>
      <c r="W595" s="6"/>
    </row>
    <row r="596" spans="1:23" ht="15" thickBot="1" x14ac:dyDescent="0.35">
      <c r="A596" s="2">
        <v>42</v>
      </c>
      <c r="B596" s="3" t="s">
        <v>14</v>
      </c>
      <c r="C596" s="2">
        <v>26.1</v>
      </c>
      <c r="D596" s="2">
        <v>2</v>
      </c>
      <c r="E596" s="3" t="s">
        <v>16</v>
      </c>
      <c r="F596" s="3" t="s">
        <v>9</v>
      </c>
      <c r="G596" s="4">
        <v>7729.65</v>
      </c>
      <c r="H596">
        <f t="shared" si="19"/>
        <v>3</v>
      </c>
      <c r="I596" s="6">
        <f t="shared" si="20"/>
        <v>2576.5499999999997</v>
      </c>
      <c r="L596" s="19"/>
      <c r="O596" s="2"/>
      <c r="P596" s="3"/>
      <c r="Q596" s="2"/>
      <c r="R596" s="2"/>
      <c r="S596" s="3"/>
      <c r="T596" s="3"/>
      <c r="U596" s="4"/>
      <c r="W596" s="6"/>
    </row>
    <row r="597" spans="1:23" ht="15" thickBot="1" x14ac:dyDescent="0.35">
      <c r="A597" s="2">
        <v>42</v>
      </c>
      <c r="B597" s="3" t="s">
        <v>15</v>
      </c>
      <c r="C597" s="2">
        <v>29</v>
      </c>
      <c r="D597" s="2">
        <v>1</v>
      </c>
      <c r="E597" s="3" t="s">
        <v>16</v>
      </c>
      <c r="F597" s="3" t="s">
        <v>8</v>
      </c>
      <c r="G597" s="4">
        <v>7050.64</v>
      </c>
      <c r="H597">
        <f t="shared" si="19"/>
        <v>2</v>
      </c>
      <c r="I597" s="6">
        <f t="shared" si="20"/>
        <v>3525.32</v>
      </c>
      <c r="L597" s="19"/>
      <c r="O597" s="2"/>
      <c r="P597" s="3"/>
      <c r="Q597" s="2"/>
      <c r="R597" s="2"/>
      <c r="S597" s="3"/>
      <c r="T597" s="3"/>
      <c r="U597" s="4"/>
      <c r="W597" s="6"/>
    </row>
    <row r="598" spans="1:23" ht="15" thickBot="1" x14ac:dyDescent="0.35">
      <c r="A598" s="2">
        <v>42</v>
      </c>
      <c r="B598" s="3" t="s">
        <v>15</v>
      </c>
      <c r="C598" s="2">
        <v>26.2</v>
      </c>
      <c r="D598" s="2">
        <v>1</v>
      </c>
      <c r="E598" s="3" t="s">
        <v>16</v>
      </c>
      <c r="F598" s="3" t="s">
        <v>10</v>
      </c>
      <c r="G598" s="4">
        <v>7046.72</v>
      </c>
      <c r="H598">
        <f t="shared" si="19"/>
        <v>2</v>
      </c>
      <c r="I598" s="6">
        <f t="shared" si="20"/>
        <v>3523.36</v>
      </c>
      <c r="L598" s="19"/>
      <c r="O598" s="2"/>
      <c r="P598" s="3"/>
      <c r="Q598" s="2"/>
      <c r="R598" s="2"/>
      <c r="S598" s="3"/>
      <c r="T598" s="3"/>
      <c r="U598" s="4"/>
      <c r="W598" s="6"/>
    </row>
    <row r="599" spans="1:23" ht="15" thickBot="1" x14ac:dyDescent="0.35">
      <c r="A599" s="2">
        <v>42</v>
      </c>
      <c r="B599" s="3" t="s">
        <v>14</v>
      </c>
      <c r="C599" s="2">
        <v>36</v>
      </c>
      <c r="D599" s="2">
        <v>2</v>
      </c>
      <c r="E599" s="3" t="s">
        <v>16</v>
      </c>
      <c r="F599" s="3" t="s">
        <v>10</v>
      </c>
      <c r="G599" s="4">
        <v>7160.33</v>
      </c>
      <c r="H599">
        <f t="shared" si="19"/>
        <v>3</v>
      </c>
      <c r="I599" s="6">
        <f t="shared" si="20"/>
        <v>2386.7766666666666</v>
      </c>
      <c r="L599" s="19"/>
      <c r="O599" s="2"/>
      <c r="P599" s="3"/>
      <c r="Q599" s="2"/>
      <c r="R599" s="2"/>
      <c r="S599" s="3"/>
      <c r="T599" s="3"/>
      <c r="U599" s="4"/>
      <c r="W599" s="6"/>
    </row>
    <row r="600" spans="1:23" ht="15" thickBot="1" x14ac:dyDescent="0.35">
      <c r="A600" s="2">
        <v>42</v>
      </c>
      <c r="B600" s="3" t="s">
        <v>14</v>
      </c>
      <c r="C600" s="2">
        <v>24.9</v>
      </c>
      <c r="D600" s="2">
        <v>0</v>
      </c>
      <c r="E600" s="3" t="s">
        <v>16</v>
      </c>
      <c r="F600" s="3" t="s">
        <v>10</v>
      </c>
      <c r="G600" s="4">
        <v>5966.89</v>
      </c>
      <c r="H600">
        <f t="shared" si="19"/>
        <v>1</v>
      </c>
      <c r="I600" s="6">
        <f t="shared" si="20"/>
        <v>5966.89</v>
      </c>
      <c r="L600" s="19"/>
      <c r="O600" s="2"/>
      <c r="P600" s="3"/>
      <c r="Q600" s="2"/>
      <c r="R600" s="2"/>
      <c r="S600" s="3"/>
      <c r="T600" s="3"/>
      <c r="U600" s="4"/>
      <c r="W600" s="6"/>
    </row>
    <row r="601" spans="1:23" ht="15" thickBot="1" x14ac:dyDescent="0.35">
      <c r="A601" s="2">
        <v>42</v>
      </c>
      <c r="B601" s="3" t="s">
        <v>14</v>
      </c>
      <c r="C601" s="2">
        <v>35.799999999999997</v>
      </c>
      <c r="D601" s="2">
        <v>2</v>
      </c>
      <c r="E601" s="3" t="s">
        <v>16</v>
      </c>
      <c r="F601" s="3" t="s">
        <v>8</v>
      </c>
      <c r="G601" s="4">
        <v>7160.09</v>
      </c>
      <c r="H601">
        <f t="shared" si="19"/>
        <v>3</v>
      </c>
      <c r="I601" s="6">
        <f t="shared" si="20"/>
        <v>2386.6966666666667</v>
      </c>
      <c r="L601" s="19"/>
      <c r="O601" s="2"/>
      <c r="P601" s="3"/>
      <c r="Q601" s="2"/>
      <c r="R601" s="2"/>
      <c r="S601" s="3"/>
      <c r="T601" s="3"/>
      <c r="U601" s="4"/>
      <c r="W601" s="6"/>
    </row>
    <row r="602" spans="1:23" ht="15" thickBot="1" x14ac:dyDescent="0.35">
      <c r="A602" s="2">
        <v>42</v>
      </c>
      <c r="B602" s="3" t="s">
        <v>14</v>
      </c>
      <c r="C602" s="2">
        <v>31.3</v>
      </c>
      <c r="D602" s="2">
        <v>0</v>
      </c>
      <c r="E602" s="3" t="s">
        <v>16</v>
      </c>
      <c r="F602" s="3" t="s">
        <v>7</v>
      </c>
      <c r="G602" s="4">
        <v>6358.78</v>
      </c>
      <c r="H602">
        <f t="shared" si="19"/>
        <v>1</v>
      </c>
      <c r="I602" s="6">
        <f t="shared" si="20"/>
        <v>6358.78</v>
      </c>
      <c r="L602" s="19"/>
      <c r="O602" s="2"/>
      <c r="P602" s="3"/>
      <c r="Q602" s="2"/>
      <c r="R602" s="2"/>
      <c r="S602" s="3"/>
      <c r="T602" s="3"/>
      <c r="U602" s="4"/>
      <c r="W602" s="6"/>
    </row>
    <row r="603" spans="1:23" ht="15" thickBot="1" x14ac:dyDescent="0.35">
      <c r="A603" s="2">
        <v>42</v>
      </c>
      <c r="B603" s="3" t="s">
        <v>15</v>
      </c>
      <c r="C603" s="2">
        <v>25.3</v>
      </c>
      <c r="D603" s="2">
        <v>1</v>
      </c>
      <c r="E603" s="3" t="s">
        <v>16</v>
      </c>
      <c r="F603" s="3" t="s">
        <v>8</v>
      </c>
      <c r="G603" s="4">
        <v>7045.5</v>
      </c>
      <c r="H603">
        <f t="shared" si="19"/>
        <v>2</v>
      </c>
      <c r="I603" s="6">
        <f t="shared" si="20"/>
        <v>3522.75</v>
      </c>
      <c r="L603" s="19"/>
      <c r="O603" s="2"/>
      <c r="P603" s="3"/>
      <c r="Q603" s="2"/>
      <c r="R603" s="2"/>
      <c r="S603" s="3"/>
      <c r="T603" s="3"/>
      <c r="U603" s="4"/>
      <c r="W603" s="6"/>
    </row>
    <row r="604" spans="1:23" ht="15" thickBot="1" x14ac:dyDescent="0.35">
      <c r="A604" s="2">
        <v>42</v>
      </c>
      <c r="B604" s="3" t="s">
        <v>14</v>
      </c>
      <c r="C604" s="2">
        <v>34.1</v>
      </c>
      <c r="D604" s="2">
        <v>0</v>
      </c>
      <c r="E604" s="3" t="s">
        <v>16</v>
      </c>
      <c r="F604" s="3" t="s">
        <v>8</v>
      </c>
      <c r="G604" s="4">
        <v>5979.73</v>
      </c>
      <c r="H604">
        <f t="shared" si="19"/>
        <v>1</v>
      </c>
      <c r="I604" s="6">
        <f t="shared" si="20"/>
        <v>5979.73</v>
      </c>
      <c r="L604" s="19"/>
      <c r="O604" s="2"/>
      <c r="P604" s="3"/>
      <c r="Q604" s="2"/>
      <c r="R604" s="2"/>
      <c r="S604" s="3"/>
      <c r="T604" s="3"/>
      <c r="U604" s="4"/>
      <c r="W604" s="6"/>
    </row>
    <row r="605" spans="1:23" ht="15" thickBot="1" x14ac:dyDescent="0.35">
      <c r="A605" s="2">
        <v>42</v>
      </c>
      <c r="B605" s="3" t="s">
        <v>15</v>
      </c>
      <c r="C605" s="2">
        <v>41.3</v>
      </c>
      <c r="D605" s="2">
        <v>1</v>
      </c>
      <c r="E605" s="3" t="s">
        <v>16</v>
      </c>
      <c r="F605" s="3" t="s">
        <v>9</v>
      </c>
      <c r="G605" s="4">
        <v>7650.77</v>
      </c>
      <c r="H605">
        <f t="shared" si="19"/>
        <v>2</v>
      </c>
      <c r="I605" s="6">
        <f t="shared" si="20"/>
        <v>3825.3850000000002</v>
      </c>
      <c r="L605" s="19"/>
      <c r="O605" s="2"/>
      <c r="P605" s="3"/>
      <c r="Q605" s="2"/>
      <c r="R605" s="2"/>
      <c r="S605" s="3"/>
      <c r="T605" s="3"/>
      <c r="U605" s="4"/>
      <c r="W605" s="6"/>
    </row>
    <row r="606" spans="1:23" ht="15" thickBot="1" x14ac:dyDescent="0.35">
      <c r="A606" s="2">
        <v>42</v>
      </c>
      <c r="B606" s="3" t="s">
        <v>14</v>
      </c>
      <c r="C606" s="2">
        <v>37.200000000000003</v>
      </c>
      <c r="D606" s="2">
        <v>2</v>
      </c>
      <c r="E606" s="3" t="s">
        <v>16</v>
      </c>
      <c r="F606" s="3" t="s">
        <v>10</v>
      </c>
      <c r="G606" s="4">
        <v>7162.01</v>
      </c>
      <c r="H606">
        <f t="shared" si="19"/>
        <v>3</v>
      </c>
      <c r="I606" s="6">
        <f t="shared" si="20"/>
        <v>2387.3366666666666</v>
      </c>
      <c r="L606" s="19"/>
      <c r="O606" s="2"/>
      <c r="P606" s="3"/>
      <c r="Q606" s="2"/>
      <c r="R606" s="2"/>
      <c r="S606" s="3"/>
      <c r="T606" s="3"/>
      <c r="U606" s="4"/>
      <c r="W606" s="6"/>
    </row>
    <row r="607" spans="1:23" ht="15" thickBot="1" x14ac:dyDescent="0.35">
      <c r="A607" s="2">
        <v>42</v>
      </c>
      <c r="B607" s="3" t="s">
        <v>15</v>
      </c>
      <c r="C607" s="2">
        <v>37.9</v>
      </c>
      <c r="D607" s="2">
        <v>0</v>
      </c>
      <c r="E607" s="3" t="s">
        <v>16</v>
      </c>
      <c r="F607" s="3" t="s">
        <v>8</v>
      </c>
      <c r="G607" s="4">
        <v>6474.01</v>
      </c>
      <c r="H607">
        <f t="shared" si="19"/>
        <v>1</v>
      </c>
      <c r="I607" s="6">
        <f t="shared" si="20"/>
        <v>6474.01</v>
      </c>
      <c r="L607" s="19"/>
      <c r="O607" s="2"/>
      <c r="P607" s="3"/>
      <c r="Q607" s="2"/>
      <c r="R607" s="2"/>
      <c r="S607" s="3"/>
      <c r="T607" s="3"/>
      <c r="U607" s="4"/>
      <c r="W607" s="6"/>
    </row>
    <row r="608" spans="1:23" ht="15" thickBot="1" x14ac:dyDescent="0.35">
      <c r="A608" s="2">
        <v>42</v>
      </c>
      <c r="B608" s="3" t="s">
        <v>14</v>
      </c>
      <c r="C608" s="2">
        <v>24.6</v>
      </c>
      <c r="D608" s="2">
        <v>2</v>
      </c>
      <c r="E608" s="3" t="s">
        <v>17</v>
      </c>
      <c r="F608" s="3" t="s">
        <v>9</v>
      </c>
      <c r="G608" s="4">
        <v>21259.38</v>
      </c>
      <c r="H608">
        <f t="shared" si="19"/>
        <v>3</v>
      </c>
      <c r="I608" s="6">
        <f t="shared" si="20"/>
        <v>7086.46</v>
      </c>
      <c r="L608" s="19"/>
      <c r="O608" s="2"/>
      <c r="P608" s="3"/>
      <c r="Q608" s="2"/>
      <c r="R608" s="2"/>
      <c r="S608" s="3"/>
      <c r="T608" s="3"/>
      <c r="U608" s="4"/>
      <c r="W608" s="6"/>
    </row>
    <row r="609" spans="1:23" ht="15" thickBot="1" x14ac:dyDescent="0.35">
      <c r="A609" s="2">
        <v>42</v>
      </c>
      <c r="B609" s="3" t="s">
        <v>14</v>
      </c>
      <c r="C609" s="2">
        <v>26.3</v>
      </c>
      <c r="D609" s="2">
        <v>1</v>
      </c>
      <c r="E609" s="3" t="s">
        <v>16</v>
      </c>
      <c r="F609" s="3" t="s">
        <v>7</v>
      </c>
      <c r="G609" s="4">
        <v>6940.91</v>
      </c>
      <c r="H609">
        <f t="shared" si="19"/>
        <v>2</v>
      </c>
      <c r="I609" s="6">
        <f t="shared" si="20"/>
        <v>3470.4549999999999</v>
      </c>
      <c r="L609" s="19"/>
      <c r="O609" s="2"/>
      <c r="P609" s="3"/>
      <c r="Q609" s="2"/>
      <c r="R609" s="2"/>
      <c r="S609" s="3"/>
      <c r="T609" s="3"/>
      <c r="U609" s="4"/>
      <c r="W609" s="6"/>
    </row>
    <row r="610" spans="1:23" ht="15" thickBot="1" x14ac:dyDescent="0.35">
      <c r="A610" s="2">
        <v>42</v>
      </c>
      <c r="B610" s="3" t="s">
        <v>15</v>
      </c>
      <c r="C610" s="2">
        <v>40.4</v>
      </c>
      <c r="D610" s="2">
        <v>2</v>
      </c>
      <c r="E610" s="3" t="s">
        <v>17</v>
      </c>
      <c r="F610" s="3" t="s">
        <v>10</v>
      </c>
      <c r="G610" s="4">
        <v>43896.38</v>
      </c>
      <c r="H610">
        <f t="shared" si="19"/>
        <v>3</v>
      </c>
      <c r="I610" s="6">
        <f t="shared" si="20"/>
        <v>14632.126666666665</v>
      </c>
      <c r="L610" s="19"/>
      <c r="O610" s="2"/>
      <c r="P610" s="3"/>
      <c r="Q610" s="2"/>
      <c r="R610" s="2"/>
      <c r="S610" s="3"/>
      <c r="T610" s="3"/>
      <c r="U610" s="4"/>
      <c r="W610" s="6"/>
    </row>
    <row r="611" spans="1:23" ht="15" thickBot="1" x14ac:dyDescent="0.35">
      <c r="A611" s="2">
        <v>42</v>
      </c>
      <c r="B611" s="3" t="s">
        <v>15</v>
      </c>
      <c r="C611" s="2">
        <v>32.9</v>
      </c>
      <c r="D611" s="2">
        <v>0</v>
      </c>
      <c r="E611" s="3" t="s">
        <v>16</v>
      </c>
      <c r="F611" s="3" t="s">
        <v>9</v>
      </c>
      <c r="G611" s="4">
        <v>7050.02</v>
      </c>
      <c r="H611">
        <f t="shared" si="19"/>
        <v>1</v>
      </c>
      <c r="I611" s="6">
        <f t="shared" si="20"/>
        <v>7050.02</v>
      </c>
      <c r="L611" s="19"/>
      <c r="O611" s="2"/>
      <c r="P611" s="3"/>
      <c r="Q611" s="2"/>
      <c r="R611" s="2"/>
      <c r="S611" s="3"/>
      <c r="T611" s="3"/>
      <c r="U611" s="4"/>
      <c r="W611" s="6"/>
    </row>
    <row r="612" spans="1:23" ht="15" thickBot="1" x14ac:dyDescent="0.35">
      <c r="A612" s="2">
        <v>41</v>
      </c>
      <c r="B612" s="3" t="s">
        <v>14</v>
      </c>
      <c r="C612" s="2">
        <v>21.8</v>
      </c>
      <c r="D612" s="2">
        <v>1</v>
      </c>
      <c r="E612" s="3" t="s">
        <v>16</v>
      </c>
      <c r="F612" s="3" t="s">
        <v>10</v>
      </c>
      <c r="G612" s="4">
        <v>6272.48</v>
      </c>
      <c r="H612">
        <f t="shared" si="19"/>
        <v>2</v>
      </c>
      <c r="I612" s="6">
        <f t="shared" si="20"/>
        <v>3136.24</v>
      </c>
      <c r="L612" s="19"/>
      <c r="O612" s="2"/>
      <c r="P612" s="3"/>
      <c r="Q612" s="2"/>
      <c r="R612" s="2"/>
      <c r="S612" s="3"/>
      <c r="T612" s="3"/>
      <c r="U612" s="4"/>
      <c r="W612" s="6"/>
    </row>
    <row r="613" spans="1:23" ht="15" thickBot="1" x14ac:dyDescent="0.35">
      <c r="A613" s="2">
        <v>41</v>
      </c>
      <c r="B613" s="3" t="s">
        <v>15</v>
      </c>
      <c r="C613" s="2">
        <v>33</v>
      </c>
      <c r="D613" s="2">
        <v>0</v>
      </c>
      <c r="E613" s="3" t="s">
        <v>16</v>
      </c>
      <c r="F613" s="3" t="s">
        <v>7</v>
      </c>
      <c r="G613" s="4">
        <v>6571.02</v>
      </c>
      <c r="H613">
        <f t="shared" si="19"/>
        <v>1</v>
      </c>
      <c r="I613" s="6">
        <f t="shared" si="20"/>
        <v>6571.02</v>
      </c>
      <c r="L613" s="19"/>
      <c r="O613" s="2"/>
      <c r="P613" s="3"/>
      <c r="Q613" s="2"/>
      <c r="R613" s="2"/>
      <c r="S613" s="3"/>
      <c r="T613" s="3"/>
      <c r="U613" s="4"/>
      <c r="W613" s="6"/>
    </row>
    <row r="614" spans="1:23" ht="15" thickBot="1" x14ac:dyDescent="0.35">
      <c r="A614" s="2">
        <v>41</v>
      </c>
      <c r="B614" s="3" t="s">
        <v>15</v>
      </c>
      <c r="C614" s="2">
        <v>31.6</v>
      </c>
      <c r="D614" s="2">
        <v>0</v>
      </c>
      <c r="E614" s="3" t="s">
        <v>16</v>
      </c>
      <c r="F614" s="3" t="s">
        <v>8</v>
      </c>
      <c r="G614" s="4">
        <v>6186.13</v>
      </c>
      <c r="H614">
        <f t="shared" si="19"/>
        <v>1</v>
      </c>
      <c r="I614" s="6">
        <f t="shared" si="20"/>
        <v>6186.13</v>
      </c>
      <c r="L614" s="19"/>
      <c r="O614" s="2"/>
      <c r="P614" s="3"/>
      <c r="Q614" s="2"/>
      <c r="R614" s="2"/>
      <c r="S614" s="3"/>
      <c r="T614" s="3"/>
      <c r="U614" s="4"/>
      <c r="W614" s="6"/>
    </row>
    <row r="615" spans="1:23" ht="15" thickBot="1" x14ac:dyDescent="0.35">
      <c r="A615" s="2">
        <v>41</v>
      </c>
      <c r="B615" s="3" t="s">
        <v>15</v>
      </c>
      <c r="C615" s="2">
        <v>33.200000000000003</v>
      </c>
      <c r="D615" s="2">
        <v>3</v>
      </c>
      <c r="E615" s="3" t="s">
        <v>16</v>
      </c>
      <c r="F615" s="3" t="s">
        <v>9</v>
      </c>
      <c r="G615" s="4">
        <v>8538.2900000000009</v>
      </c>
      <c r="H615">
        <f t="shared" si="19"/>
        <v>4</v>
      </c>
      <c r="I615" s="6">
        <f t="shared" si="20"/>
        <v>2134.5725000000002</v>
      </c>
      <c r="L615" s="19"/>
      <c r="O615" s="2"/>
      <c r="P615" s="3"/>
      <c r="Q615" s="2"/>
      <c r="R615" s="2"/>
      <c r="S615" s="3"/>
      <c r="T615" s="3"/>
      <c r="U615" s="4"/>
      <c r="W615" s="6"/>
    </row>
    <row r="616" spans="1:23" ht="15" thickBot="1" x14ac:dyDescent="0.35">
      <c r="A616" s="2">
        <v>41</v>
      </c>
      <c r="B616" s="3" t="s">
        <v>15</v>
      </c>
      <c r="C616" s="2">
        <v>32.200000000000003</v>
      </c>
      <c r="D616" s="2">
        <v>1</v>
      </c>
      <c r="E616" s="3" t="s">
        <v>16</v>
      </c>
      <c r="F616" s="3" t="s">
        <v>8</v>
      </c>
      <c r="G616" s="4">
        <v>6775.96</v>
      </c>
      <c r="H616">
        <f t="shared" si="19"/>
        <v>2</v>
      </c>
      <c r="I616" s="6">
        <f t="shared" si="20"/>
        <v>3387.98</v>
      </c>
      <c r="L616" s="19"/>
      <c r="O616" s="2"/>
      <c r="P616" s="3"/>
      <c r="Q616" s="2"/>
      <c r="R616" s="2"/>
      <c r="S616" s="3"/>
      <c r="T616" s="3"/>
      <c r="U616" s="4"/>
      <c r="W616" s="6"/>
    </row>
    <row r="617" spans="1:23" ht="15" thickBot="1" x14ac:dyDescent="0.35">
      <c r="A617" s="2">
        <v>41</v>
      </c>
      <c r="B617" s="3" t="s">
        <v>15</v>
      </c>
      <c r="C617" s="2">
        <v>37.1</v>
      </c>
      <c r="D617" s="2">
        <v>2</v>
      </c>
      <c r="E617" s="3" t="s">
        <v>16</v>
      </c>
      <c r="F617" s="3" t="s">
        <v>8</v>
      </c>
      <c r="G617" s="4">
        <v>7371.77</v>
      </c>
      <c r="H617">
        <f t="shared" si="19"/>
        <v>3</v>
      </c>
      <c r="I617" s="6">
        <f t="shared" si="20"/>
        <v>2457.2566666666667</v>
      </c>
      <c r="L617" s="19"/>
      <c r="O617" s="2"/>
      <c r="P617" s="3"/>
      <c r="Q617" s="2"/>
      <c r="R617" s="2"/>
      <c r="S617" s="3"/>
      <c r="T617" s="3"/>
      <c r="U617" s="4"/>
      <c r="W617" s="6"/>
    </row>
    <row r="618" spans="1:23" ht="15" thickBot="1" x14ac:dyDescent="0.35">
      <c r="A618" s="2">
        <v>41</v>
      </c>
      <c r="B618" s="3" t="s">
        <v>15</v>
      </c>
      <c r="C618" s="2">
        <v>31.6</v>
      </c>
      <c r="D618" s="2">
        <v>1</v>
      </c>
      <c r="E618" s="3" t="s">
        <v>16</v>
      </c>
      <c r="F618" s="3" t="s">
        <v>9</v>
      </c>
      <c r="G618" s="4">
        <v>7358.18</v>
      </c>
      <c r="H618">
        <f t="shared" si="19"/>
        <v>2</v>
      </c>
      <c r="I618" s="6">
        <f t="shared" si="20"/>
        <v>3679.09</v>
      </c>
      <c r="L618" s="19"/>
      <c r="O618" s="2"/>
      <c r="P618" s="3"/>
      <c r="Q618" s="2"/>
      <c r="R618" s="2"/>
      <c r="S618" s="3"/>
      <c r="T618" s="3"/>
      <c r="U618" s="4"/>
      <c r="W618" s="6"/>
    </row>
    <row r="619" spans="1:23" ht="15" thickBot="1" x14ac:dyDescent="0.35">
      <c r="A619" s="2">
        <v>41</v>
      </c>
      <c r="B619" s="3" t="s">
        <v>14</v>
      </c>
      <c r="C619" s="2">
        <v>37.1</v>
      </c>
      <c r="D619" s="2">
        <v>2</v>
      </c>
      <c r="E619" s="3" t="s">
        <v>16</v>
      </c>
      <c r="F619" s="3" t="s">
        <v>7</v>
      </c>
      <c r="G619" s="4">
        <v>7265.7</v>
      </c>
      <c r="H619">
        <f t="shared" si="19"/>
        <v>3</v>
      </c>
      <c r="I619" s="6">
        <f t="shared" si="20"/>
        <v>2421.9</v>
      </c>
      <c r="L619" s="19"/>
      <c r="O619" s="2"/>
      <c r="P619" s="3"/>
      <c r="Q619" s="2"/>
      <c r="R619" s="2"/>
      <c r="S619" s="3"/>
      <c r="T619" s="3"/>
      <c r="U619" s="4"/>
      <c r="W619" s="6"/>
    </row>
    <row r="620" spans="1:23" ht="15" thickBot="1" x14ac:dyDescent="0.35">
      <c r="A620" s="2">
        <v>41</v>
      </c>
      <c r="B620" s="3" t="s">
        <v>15</v>
      </c>
      <c r="C620" s="2">
        <v>33.1</v>
      </c>
      <c r="D620" s="2">
        <v>2</v>
      </c>
      <c r="E620" s="3" t="s">
        <v>16</v>
      </c>
      <c r="F620" s="3" t="s">
        <v>7</v>
      </c>
      <c r="G620" s="4">
        <v>7749.16</v>
      </c>
      <c r="H620">
        <f t="shared" si="19"/>
        <v>3</v>
      </c>
      <c r="I620" s="6">
        <f t="shared" si="20"/>
        <v>2583.0533333333333</v>
      </c>
      <c r="L620" s="19"/>
      <c r="O620" s="2"/>
      <c r="P620" s="3"/>
      <c r="Q620" s="2"/>
      <c r="R620" s="2"/>
      <c r="S620" s="3"/>
      <c r="T620" s="3"/>
      <c r="U620" s="4"/>
      <c r="W620" s="6"/>
    </row>
    <row r="621" spans="1:23" ht="15" thickBot="1" x14ac:dyDescent="0.35">
      <c r="A621" s="2">
        <v>41</v>
      </c>
      <c r="B621" s="3" t="s">
        <v>14</v>
      </c>
      <c r="C621" s="2">
        <v>30.6</v>
      </c>
      <c r="D621" s="2">
        <v>2</v>
      </c>
      <c r="E621" s="3" t="s">
        <v>16</v>
      </c>
      <c r="F621" s="3" t="s">
        <v>7</v>
      </c>
      <c r="G621" s="4">
        <v>7256.72</v>
      </c>
      <c r="H621">
        <f t="shared" si="19"/>
        <v>3</v>
      </c>
      <c r="I621" s="6">
        <f t="shared" si="20"/>
        <v>2418.9066666666668</v>
      </c>
      <c r="L621" s="19"/>
      <c r="O621" s="2"/>
      <c r="P621" s="3"/>
      <c r="Q621" s="2"/>
      <c r="R621" s="2"/>
      <c r="S621" s="3"/>
      <c r="T621" s="3"/>
      <c r="U621" s="4"/>
      <c r="W621" s="6"/>
    </row>
    <row r="622" spans="1:23" ht="15" thickBot="1" x14ac:dyDescent="0.35">
      <c r="A622" s="2">
        <v>41</v>
      </c>
      <c r="B622" s="3" t="s">
        <v>14</v>
      </c>
      <c r="C622" s="2">
        <v>40.299999999999997</v>
      </c>
      <c r="D622" s="2">
        <v>0</v>
      </c>
      <c r="E622" s="3" t="s">
        <v>16</v>
      </c>
      <c r="F622" s="3" t="s">
        <v>10</v>
      </c>
      <c r="G622" s="4">
        <v>5709.16</v>
      </c>
      <c r="H622">
        <f t="shared" si="19"/>
        <v>1</v>
      </c>
      <c r="I622" s="6">
        <f t="shared" si="20"/>
        <v>5709.16</v>
      </c>
      <c r="L622" s="19"/>
      <c r="O622" s="2"/>
      <c r="P622" s="3"/>
      <c r="Q622" s="2"/>
      <c r="R622" s="2"/>
      <c r="S622" s="3"/>
      <c r="T622" s="3"/>
      <c r="U622" s="4"/>
      <c r="W622" s="6"/>
    </row>
    <row r="623" spans="1:23" ht="15" thickBot="1" x14ac:dyDescent="0.35">
      <c r="A623" s="2">
        <v>41</v>
      </c>
      <c r="B623" s="3" t="s">
        <v>15</v>
      </c>
      <c r="C623" s="2">
        <v>31</v>
      </c>
      <c r="D623" s="2">
        <v>0</v>
      </c>
      <c r="E623" s="3" t="s">
        <v>16</v>
      </c>
      <c r="F623" s="3" t="s">
        <v>10</v>
      </c>
      <c r="G623" s="4">
        <v>6185.32</v>
      </c>
      <c r="H623">
        <f t="shared" si="19"/>
        <v>1</v>
      </c>
      <c r="I623" s="6">
        <f t="shared" si="20"/>
        <v>6185.32</v>
      </c>
      <c r="L623" s="19"/>
      <c r="O623" s="2"/>
      <c r="P623" s="3"/>
      <c r="Q623" s="2"/>
      <c r="R623" s="2"/>
      <c r="S623" s="3"/>
      <c r="T623" s="3"/>
      <c r="U623" s="4"/>
      <c r="W623" s="6"/>
    </row>
    <row r="624" spans="1:23" ht="15" thickBot="1" x14ac:dyDescent="0.35">
      <c r="A624" s="2">
        <v>41</v>
      </c>
      <c r="B624" s="3" t="s">
        <v>14</v>
      </c>
      <c r="C624" s="2">
        <v>35.799999999999997</v>
      </c>
      <c r="D624" s="2">
        <v>1</v>
      </c>
      <c r="E624" s="3" t="s">
        <v>17</v>
      </c>
      <c r="F624" s="3" t="s">
        <v>10</v>
      </c>
      <c r="G624" s="4">
        <v>40273.65</v>
      </c>
      <c r="H624">
        <f t="shared" si="19"/>
        <v>2</v>
      </c>
      <c r="I624" s="6">
        <f t="shared" si="20"/>
        <v>20136.825000000001</v>
      </c>
      <c r="L624" s="19"/>
      <c r="O624" s="2"/>
      <c r="P624" s="3"/>
      <c r="Q624" s="2"/>
      <c r="R624" s="2"/>
      <c r="S624" s="3"/>
      <c r="T624" s="3"/>
      <c r="U624" s="4"/>
      <c r="W624" s="6"/>
    </row>
    <row r="625" spans="1:23" ht="15" thickBot="1" x14ac:dyDescent="0.35">
      <c r="A625" s="2">
        <v>41</v>
      </c>
      <c r="B625" s="3" t="s">
        <v>14</v>
      </c>
      <c r="C625" s="2">
        <v>28.4</v>
      </c>
      <c r="D625" s="2">
        <v>1</v>
      </c>
      <c r="E625" s="3" t="s">
        <v>16</v>
      </c>
      <c r="F625" s="3" t="s">
        <v>7</v>
      </c>
      <c r="G625" s="4">
        <v>6664.69</v>
      </c>
      <c r="H625">
        <f t="shared" si="19"/>
        <v>2</v>
      </c>
      <c r="I625" s="6">
        <f t="shared" si="20"/>
        <v>3332.3449999999998</v>
      </c>
      <c r="L625" s="19"/>
      <c r="O625" s="2"/>
      <c r="P625" s="3"/>
      <c r="Q625" s="2"/>
      <c r="R625" s="2"/>
      <c r="S625" s="3"/>
      <c r="T625" s="3"/>
      <c r="U625" s="4"/>
      <c r="W625" s="6"/>
    </row>
    <row r="626" spans="1:23" ht="15" thickBot="1" x14ac:dyDescent="0.35">
      <c r="A626" s="2">
        <v>41</v>
      </c>
      <c r="B626" s="3" t="s">
        <v>15</v>
      </c>
      <c r="C626" s="2">
        <v>36.1</v>
      </c>
      <c r="D626" s="2">
        <v>1</v>
      </c>
      <c r="E626" s="3" t="s">
        <v>16</v>
      </c>
      <c r="F626" s="3" t="s">
        <v>10</v>
      </c>
      <c r="G626" s="4">
        <v>6781.35</v>
      </c>
      <c r="H626">
        <f t="shared" si="19"/>
        <v>2</v>
      </c>
      <c r="I626" s="6">
        <f t="shared" si="20"/>
        <v>3390.6750000000002</v>
      </c>
      <c r="L626" s="19"/>
      <c r="O626" s="2"/>
      <c r="P626" s="3"/>
      <c r="Q626" s="2"/>
      <c r="R626" s="2"/>
      <c r="S626" s="3"/>
      <c r="T626" s="3"/>
      <c r="U626" s="4"/>
      <c r="W626" s="6"/>
    </row>
    <row r="627" spans="1:23" ht="15" thickBot="1" x14ac:dyDescent="0.35">
      <c r="A627" s="2">
        <v>41</v>
      </c>
      <c r="B627" s="3" t="s">
        <v>14</v>
      </c>
      <c r="C627" s="2">
        <v>34.200000000000003</v>
      </c>
      <c r="D627" s="2">
        <v>2</v>
      </c>
      <c r="E627" s="3" t="s">
        <v>16</v>
      </c>
      <c r="F627" s="3" t="s">
        <v>7</v>
      </c>
      <c r="G627" s="4">
        <v>7261.74</v>
      </c>
      <c r="H627">
        <f t="shared" si="19"/>
        <v>3</v>
      </c>
      <c r="I627" s="6">
        <f t="shared" si="20"/>
        <v>2420.58</v>
      </c>
      <c r="L627" s="19"/>
      <c r="O627" s="2"/>
      <c r="P627" s="3"/>
      <c r="Q627" s="2"/>
      <c r="R627" s="2"/>
      <c r="S627" s="3"/>
      <c r="T627" s="3"/>
      <c r="U627" s="4"/>
      <c r="W627" s="6"/>
    </row>
    <row r="628" spans="1:23" ht="15" thickBot="1" x14ac:dyDescent="0.35">
      <c r="A628" s="2">
        <v>41</v>
      </c>
      <c r="B628" s="3" t="s">
        <v>14</v>
      </c>
      <c r="C628" s="2">
        <v>30.8</v>
      </c>
      <c r="D628" s="2">
        <v>3</v>
      </c>
      <c r="E628" s="3" t="s">
        <v>17</v>
      </c>
      <c r="F628" s="3" t="s">
        <v>9</v>
      </c>
      <c r="G628" s="4">
        <v>39597.410000000003</v>
      </c>
      <c r="H628">
        <f t="shared" si="19"/>
        <v>4</v>
      </c>
      <c r="I628" s="6">
        <f t="shared" si="20"/>
        <v>9899.3525000000009</v>
      </c>
      <c r="L628" s="19"/>
      <c r="O628" s="2"/>
      <c r="P628" s="3"/>
      <c r="Q628" s="2"/>
      <c r="R628" s="2"/>
      <c r="S628" s="3"/>
      <c r="T628" s="3"/>
      <c r="U628" s="4"/>
      <c r="W628" s="6"/>
    </row>
    <row r="629" spans="1:23" ht="15" thickBot="1" x14ac:dyDescent="0.35">
      <c r="A629" s="2">
        <v>41</v>
      </c>
      <c r="B629" s="3" t="s">
        <v>14</v>
      </c>
      <c r="C629" s="2">
        <v>28.8</v>
      </c>
      <c r="D629" s="2">
        <v>1</v>
      </c>
      <c r="E629" s="3" t="s">
        <v>16</v>
      </c>
      <c r="F629" s="3" t="s">
        <v>8</v>
      </c>
      <c r="G629" s="4">
        <v>6282.24</v>
      </c>
      <c r="H629">
        <f t="shared" si="19"/>
        <v>2</v>
      </c>
      <c r="I629" s="6">
        <f t="shared" si="20"/>
        <v>3141.12</v>
      </c>
      <c r="L629" s="19"/>
      <c r="O629" s="2"/>
      <c r="P629" s="3"/>
      <c r="Q629" s="2"/>
      <c r="R629" s="2"/>
      <c r="S629" s="3"/>
      <c r="T629" s="3"/>
      <c r="U629" s="4"/>
      <c r="W629" s="6"/>
    </row>
    <row r="630" spans="1:23" ht="15" thickBot="1" x14ac:dyDescent="0.35">
      <c r="A630" s="2">
        <v>41</v>
      </c>
      <c r="B630" s="3" t="s">
        <v>14</v>
      </c>
      <c r="C630" s="2">
        <v>34.200000000000003</v>
      </c>
      <c r="D630" s="2">
        <v>1</v>
      </c>
      <c r="E630" s="3" t="s">
        <v>16</v>
      </c>
      <c r="F630" s="3" t="s">
        <v>10</v>
      </c>
      <c r="G630" s="4">
        <v>6289.75</v>
      </c>
      <c r="H630">
        <f t="shared" si="19"/>
        <v>2</v>
      </c>
      <c r="I630" s="6">
        <f t="shared" si="20"/>
        <v>3144.875</v>
      </c>
      <c r="L630" s="19"/>
      <c r="O630" s="2"/>
      <c r="P630" s="3"/>
      <c r="Q630" s="2"/>
      <c r="R630" s="2"/>
      <c r="S630" s="3"/>
      <c r="T630" s="3"/>
      <c r="U630" s="4"/>
      <c r="W630" s="6"/>
    </row>
    <row r="631" spans="1:23" ht="15" thickBot="1" x14ac:dyDescent="0.35">
      <c r="A631" s="2">
        <v>41</v>
      </c>
      <c r="B631" s="3" t="s">
        <v>14</v>
      </c>
      <c r="C631" s="2">
        <v>29.6</v>
      </c>
      <c r="D631" s="2">
        <v>5</v>
      </c>
      <c r="E631" s="3" t="s">
        <v>16</v>
      </c>
      <c r="F631" s="3" t="s">
        <v>9</v>
      </c>
      <c r="G631" s="4">
        <v>9222.4</v>
      </c>
      <c r="H631">
        <f t="shared" si="19"/>
        <v>6</v>
      </c>
      <c r="I631" s="6">
        <f t="shared" si="20"/>
        <v>1537.0666666666666</v>
      </c>
      <c r="L631" s="19"/>
      <c r="O631" s="2"/>
      <c r="P631" s="3"/>
      <c r="Q631" s="2"/>
      <c r="R631" s="2"/>
      <c r="S631" s="3"/>
      <c r="T631" s="3"/>
      <c r="U631" s="4"/>
      <c r="W631" s="6"/>
    </row>
    <row r="632" spans="1:23" ht="15" thickBot="1" x14ac:dyDescent="0.35">
      <c r="A632" s="2">
        <v>41</v>
      </c>
      <c r="B632" s="3" t="s">
        <v>15</v>
      </c>
      <c r="C632" s="2">
        <v>32.6</v>
      </c>
      <c r="D632" s="2">
        <v>3</v>
      </c>
      <c r="E632" s="3" t="s">
        <v>16</v>
      </c>
      <c r="F632" s="3" t="s">
        <v>8</v>
      </c>
      <c r="G632" s="4">
        <v>7954.52</v>
      </c>
      <c r="H632">
        <f t="shared" si="19"/>
        <v>4</v>
      </c>
      <c r="I632" s="6">
        <f t="shared" si="20"/>
        <v>1988.63</v>
      </c>
      <c r="L632" s="19"/>
      <c r="O632" s="2"/>
      <c r="P632" s="3"/>
      <c r="Q632" s="2"/>
      <c r="R632" s="2"/>
      <c r="S632" s="3"/>
      <c r="T632" s="3"/>
      <c r="U632" s="4"/>
      <c r="W632" s="6"/>
    </row>
    <row r="633" spans="1:23" ht="15" thickBot="1" x14ac:dyDescent="0.35">
      <c r="A633" s="2">
        <v>41</v>
      </c>
      <c r="B633" s="3" t="s">
        <v>15</v>
      </c>
      <c r="C633" s="2">
        <v>28.3</v>
      </c>
      <c r="D633" s="2">
        <v>1</v>
      </c>
      <c r="E633" s="3" t="s">
        <v>16</v>
      </c>
      <c r="F633" s="3" t="s">
        <v>7</v>
      </c>
      <c r="G633" s="4">
        <v>7153.55</v>
      </c>
      <c r="H633">
        <f t="shared" si="19"/>
        <v>2</v>
      </c>
      <c r="I633" s="6">
        <f t="shared" si="20"/>
        <v>3576.7750000000001</v>
      </c>
      <c r="L633" s="19"/>
      <c r="O633" s="2"/>
      <c r="P633" s="3"/>
      <c r="Q633" s="2"/>
      <c r="R633" s="2"/>
      <c r="S633" s="3"/>
      <c r="T633" s="3"/>
      <c r="U633" s="4"/>
      <c r="W633" s="6"/>
    </row>
    <row r="634" spans="1:23" ht="15" thickBot="1" x14ac:dyDescent="0.35">
      <c r="A634" s="2">
        <v>41</v>
      </c>
      <c r="B634" s="3" t="s">
        <v>15</v>
      </c>
      <c r="C634" s="2">
        <v>21.8</v>
      </c>
      <c r="D634" s="2">
        <v>1</v>
      </c>
      <c r="E634" s="3" t="s">
        <v>16</v>
      </c>
      <c r="F634" s="3" t="s">
        <v>9</v>
      </c>
      <c r="G634" s="4">
        <v>13725.47</v>
      </c>
      <c r="H634">
        <f t="shared" si="19"/>
        <v>2</v>
      </c>
      <c r="I634" s="6">
        <f t="shared" si="20"/>
        <v>6862.7349999999997</v>
      </c>
      <c r="L634" s="19"/>
      <c r="O634" s="2"/>
      <c r="P634" s="3"/>
      <c r="Q634" s="2"/>
      <c r="R634" s="2"/>
      <c r="S634" s="3"/>
      <c r="T634" s="3"/>
      <c r="U634" s="4"/>
      <c r="W634" s="6"/>
    </row>
    <row r="635" spans="1:23" ht="15" thickBot="1" x14ac:dyDescent="0.35">
      <c r="A635" s="2">
        <v>41</v>
      </c>
      <c r="B635" s="3" t="s">
        <v>14</v>
      </c>
      <c r="C635" s="2">
        <v>33.6</v>
      </c>
      <c r="D635" s="2">
        <v>0</v>
      </c>
      <c r="E635" s="3" t="s">
        <v>16</v>
      </c>
      <c r="F635" s="3" t="s">
        <v>10</v>
      </c>
      <c r="G635" s="4">
        <v>5699.84</v>
      </c>
      <c r="H635">
        <f t="shared" si="19"/>
        <v>1</v>
      </c>
      <c r="I635" s="6">
        <f t="shared" si="20"/>
        <v>5699.84</v>
      </c>
      <c r="L635" s="19"/>
      <c r="O635" s="2"/>
      <c r="P635" s="3"/>
      <c r="Q635" s="2"/>
      <c r="R635" s="2"/>
      <c r="S635" s="3"/>
      <c r="T635" s="3"/>
      <c r="U635" s="4"/>
      <c r="W635" s="6"/>
    </row>
    <row r="636" spans="1:23" ht="15" thickBot="1" x14ac:dyDescent="0.35">
      <c r="A636" s="2">
        <v>41</v>
      </c>
      <c r="B636" s="3" t="s">
        <v>14</v>
      </c>
      <c r="C636" s="2">
        <v>23.9</v>
      </c>
      <c r="D636" s="2">
        <v>1</v>
      </c>
      <c r="E636" s="3" t="s">
        <v>16</v>
      </c>
      <c r="F636" s="3" t="s">
        <v>9</v>
      </c>
      <c r="G636" s="4">
        <v>6858.48</v>
      </c>
      <c r="H636">
        <f t="shared" si="19"/>
        <v>2</v>
      </c>
      <c r="I636" s="6">
        <f t="shared" si="20"/>
        <v>3429.24</v>
      </c>
      <c r="L636" s="19"/>
      <c r="O636" s="2"/>
      <c r="P636" s="3"/>
      <c r="Q636" s="2"/>
      <c r="R636" s="2"/>
      <c r="S636" s="3"/>
      <c r="T636" s="3"/>
      <c r="U636" s="4"/>
      <c r="W636" s="6"/>
    </row>
    <row r="637" spans="1:23" ht="15" thickBot="1" x14ac:dyDescent="0.35">
      <c r="A637" s="2">
        <v>41</v>
      </c>
      <c r="B637" s="3" t="s">
        <v>15</v>
      </c>
      <c r="C637" s="2">
        <v>28.1</v>
      </c>
      <c r="D637" s="2">
        <v>1</v>
      </c>
      <c r="E637" s="3" t="s">
        <v>16</v>
      </c>
      <c r="F637" s="3" t="s">
        <v>10</v>
      </c>
      <c r="G637" s="4">
        <v>6770.19</v>
      </c>
      <c r="H637">
        <f t="shared" si="19"/>
        <v>2</v>
      </c>
      <c r="I637" s="6">
        <f t="shared" si="20"/>
        <v>3385.0949999999998</v>
      </c>
      <c r="L637" s="19"/>
      <c r="O637" s="2"/>
      <c r="P637" s="3"/>
      <c r="Q637" s="2"/>
      <c r="R637" s="2"/>
      <c r="S637" s="3"/>
      <c r="T637" s="3"/>
      <c r="U637" s="4"/>
      <c r="W637" s="6"/>
    </row>
    <row r="638" spans="1:23" ht="15" thickBot="1" x14ac:dyDescent="0.35">
      <c r="A638" s="2">
        <v>41</v>
      </c>
      <c r="B638" s="3" t="s">
        <v>14</v>
      </c>
      <c r="C638" s="2">
        <v>32.200000000000003</v>
      </c>
      <c r="D638" s="2">
        <v>2</v>
      </c>
      <c r="E638" s="3" t="s">
        <v>16</v>
      </c>
      <c r="F638" s="3" t="s">
        <v>8</v>
      </c>
      <c r="G638" s="4">
        <v>6875.96</v>
      </c>
      <c r="H638">
        <f t="shared" si="19"/>
        <v>3</v>
      </c>
      <c r="I638" s="6">
        <f t="shared" si="20"/>
        <v>2291.9866666666667</v>
      </c>
      <c r="L638" s="19"/>
      <c r="O638" s="2"/>
      <c r="P638" s="3"/>
      <c r="Q638" s="2"/>
      <c r="R638" s="2"/>
      <c r="S638" s="3"/>
      <c r="T638" s="3"/>
      <c r="U638" s="4"/>
      <c r="W638" s="6"/>
    </row>
    <row r="639" spans="1:23" ht="15" thickBot="1" x14ac:dyDescent="0.35">
      <c r="A639" s="2">
        <v>40</v>
      </c>
      <c r="B639" s="3" t="s">
        <v>15</v>
      </c>
      <c r="C639" s="2">
        <v>28.7</v>
      </c>
      <c r="D639" s="2">
        <v>3</v>
      </c>
      <c r="E639" s="3" t="s">
        <v>16</v>
      </c>
      <c r="F639" s="3" t="s">
        <v>7</v>
      </c>
      <c r="G639" s="4">
        <v>8059.68</v>
      </c>
      <c r="H639">
        <f t="shared" si="19"/>
        <v>4</v>
      </c>
      <c r="I639" s="6">
        <f t="shared" si="20"/>
        <v>2014.92</v>
      </c>
      <c r="L639" s="19"/>
      <c r="O639" s="2"/>
      <c r="P639" s="3"/>
      <c r="Q639" s="2"/>
      <c r="R639" s="2"/>
      <c r="S639" s="3"/>
      <c r="T639" s="3"/>
      <c r="U639" s="4"/>
      <c r="W639" s="6"/>
    </row>
    <row r="640" spans="1:23" ht="15" thickBot="1" x14ac:dyDescent="0.35">
      <c r="A640" s="2">
        <v>40</v>
      </c>
      <c r="B640" s="3" t="s">
        <v>14</v>
      </c>
      <c r="C640" s="2">
        <v>26.3</v>
      </c>
      <c r="D640" s="2">
        <v>1</v>
      </c>
      <c r="E640" s="3" t="s">
        <v>16</v>
      </c>
      <c r="F640" s="3" t="s">
        <v>7</v>
      </c>
      <c r="G640" s="4">
        <v>6389.38</v>
      </c>
      <c r="H640">
        <f t="shared" si="19"/>
        <v>2</v>
      </c>
      <c r="I640" s="6">
        <f t="shared" si="20"/>
        <v>3194.69</v>
      </c>
      <c r="L640" s="19"/>
      <c r="O640" s="2"/>
      <c r="P640" s="3"/>
      <c r="Q640" s="2"/>
      <c r="R640" s="2"/>
      <c r="S640" s="3"/>
      <c r="T640" s="3"/>
      <c r="U640" s="4"/>
      <c r="W640" s="6"/>
    </row>
    <row r="641" spans="1:23" ht="15" thickBot="1" x14ac:dyDescent="0.35">
      <c r="A641" s="2">
        <v>40</v>
      </c>
      <c r="B641" s="3" t="s">
        <v>15</v>
      </c>
      <c r="C641" s="2">
        <v>36.200000000000003</v>
      </c>
      <c r="D641" s="2">
        <v>0</v>
      </c>
      <c r="E641" s="3" t="s">
        <v>16</v>
      </c>
      <c r="F641" s="3" t="s">
        <v>10</v>
      </c>
      <c r="G641" s="4">
        <v>5920.1</v>
      </c>
      <c r="H641">
        <f t="shared" si="19"/>
        <v>1</v>
      </c>
      <c r="I641" s="6">
        <f t="shared" si="20"/>
        <v>5920.1</v>
      </c>
      <c r="L641" s="19"/>
      <c r="O641" s="2"/>
      <c r="P641" s="3"/>
      <c r="Q641" s="2"/>
      <c r="R641" s="2"/>
      <c r="S641" s="3"/>
      <c r="T641" s="3"/>
      <c r="U641" s="4"/>
      <c r="W641" s="6"/>
    </row>
    <row r="642" spans="1:23" ht="15" thickBot="1" x14ac:dyDescent="0.35">
      <c r="A642" s="2">
        <v>40</v>
      </c>
      <c r="B642" s="3" t="s">
        <v>15</v>
      </c>
      <c r="C642" s="2">
        <v>25.5</v>
      </c>
      <c r="D642" s="2">
        <v>1</v>
      </c>
      <c r="E642" s="3" t="s">
        <v>16</v>
      </c>
      <c r="F642" s="3" t="s">
        <v>9</v>
      </c>
      <c r="G642" s="4">
        <v>7077.19</v>
      </c>
      <c r="H642">
        <f t="shared" si="19"/>
        <v>2</v>
      </c>
      <c r="I642" s="6">
        <f t="shared" si="20"/>
        <v>3538.5949999999998</v>
      </c>
      <c r="L642" s="19"/>
      <c r="O642" s="2"/>
      <c r="P642" s="3"/>
      <c r="Q642" s="2"/>
      <c r="R642" s="2"/>
      <c r="S642" s="3"/>
      <c r="T642" s="3"/>
      <c r="U642" s="4"/>
      <c r="W642" s="6"/>
    </row>
    <row r="643" spans="1:23" ht="15" thickBot="1" x14ac:dyDescent="0.35">
      <c r="A643" s="2">
        <v>40</v>
      </c>
      <c r="B643" s="3" t="s">
        <v>14</v>
      </c>
      <c r="C643" s="2">
        <v>41.2</v>
      </c>
      <c r="D643" s="2">
        <v>1</v>
      </c>
      <c r="E643" s="3" t="s">
        <v>16</v>
      </c>
      <c r="F643" s="3" t="s">
        <v>9</v>
      </c>
      <c r="G643" s="4">
        <v>6610.11</v>
      </c>
      <c r="H643">
        <f t="shared" ref="H643:H706" si="21">D643+1</f>
        <v>2</v>
      </c>
      <c r="I643" s="6">
        <f t="shared" ref="I643:I706" si="22">G643/H643</f>
        <v>3305.0549999999998</v>
      </c>
      <c r="L643" s="19"/>
      <c r="O643" s="2"/>
      <c r="P643" s="3"/>
      <c r="Q643" s="2"/>
      <c r="R643" s="2"/>
      <c r="S643" s="3"/>
      <c r="T643" s="3"/>
      <c r="U643" s="4"/>
      <c r="W643" s="6"/>
    </row>
    <row r="644" spans="1:23" ht="15" thickBot="1" x14ac:dyDescent="0.35">
      <c r="A644" s="2">
        <v>40</v>
      </c>
      <c r="B644" s="3" t="s">
        <v>14</v>
      </c>
      <c r="C644" s="2">
        <v>30.9</v>
      </c>
      <c r="D644" s="2">
        <v>4</v>
      </c>
      <c r="E644" s="3" t="s">
        <v>16</v>
      </c>
      <c r="F644" s="3" t="s">
        <v>7</v>
      </c>
      <c r="G644" s="4">
        <v>8162.72</v>
      </c>
      <c r="H644">
        <f t="shared" si="21"/>
        <v>5</v>
      </c>
      <c r="I644" s="6">
        <f t="shared" si="22"/>
        <v>1632.5440000000001</v>
      </c>
      <c r="L644" s="19"/>
      <c r="O644" s="2"/>
      <c r="P644" s="3"/>
      <c r="Q644" s="2"/>
      <c r="R644" s="2"/>
      <c r="S644" s="3"/>
      <c r="T644" s="3"/>
      <c r="U644" s="4"/>
      <c r="W644" s="6"/>
    </row>
    <row r="645" spans="1:23" ht="15" thickBot="1" x14ac:dyDescent="0.35">
      <c r="A645" s="2">
        <v>40</v>
      </c>
      <c r="B645" s="3" t="s">
        <v>15</v>
      </c>
      <c r="C645" s="2">
        <v>22.2</v>
      </c>
      <c r="D645" s="2">
        <v>2</v>
      </c>
      <c r="E645" s="3" t="s">
        <v>17</v>
      </c>
      <c r="F645" s="3" t="s">
        <v>10</v>
      </c>
      <c r="G645" s="4">
        <v>19444.27</v>
      </c>
      <c r="H645">
        <f t="shared" si="21"/>
        <v>3</v>
      </c>
      <c r="I645" s="6">
        <f t="shared" si="22"/>
        <v>6481.4233333333332</v>
      </c>
      <c r="L645" s="19"/>
      <c r="O645" s="2"/>
      <c r="P645" s="3"/>
      <c r="Q645" s="2"/>
      <c r="R645" s="2"/>
      <c r="S645" s="3"/>
      <c r="T645" s="3"/>
      <c r="U645" s="4"/>
      <c r="W645" s="6"/>
    </row>
    <row r="646" spans="1:23" ht="15" thickBot="1" x14ac:dyDescent="0.35">
      <c r="A646" s="2">
        <v>40</v>
      </c>
      <c r="B646" s="3" t="s">
        <v>14</v>
      </c>
      <c r="C646" s="2">
        <v>35.299999999999997</v>
      </c>
      <c r="D646" s="2">
        <v>3</v>
      </c>
      <c r="E646" s="3" t="s">
        <v>16</v>
      </c>
      <c r="F646" s="3" t="s">
        <v>8</v>
      </c>
      <c r="G646" s="4">
        <v>7196.87</v>
      </c>
      <c r="H646">
        <f t="shared" si="21"/>
        <v>4</v>
      </c>
      <c r="I646" s="6">
        <f t="shared" si="22"/>
        <v>1799.2175</v>
      </c>
      <c r="L646" s="19"/>
      <c r="O646" s="2"/>
      <c r="P646" s="3"/>
      <c r="Q646" s="2"/>
      <c r="R646" s="2"/>
      <c r="S646" s="3"/>
      <c r="T646" s="3"/>
      <c r="U646" s="4"/>
      <c r="W646" s="6"/>
    </row>
    <row r="647" spans="1:23" ht="15" thickBot="1" x14ac:dyDescent="0.35">
      <c r="A647" s="2">
        <v>40</v>
      </c>
      <c r="B647" s="3" t="s">
        <v>14</v>
      </c>
      <c r="C647" s="2">
        <v>19.8</v>
      </c>
      <c r="D647" s="2">
        <v>1</v>
      </c>
      <c r="E647" s="3" t="s">
        <v>17</v>
      </c>
      <c r="F647" s="3" t="s">
        <v>10</v>
      </c>
      <c r="G647" s="4">
        <v>17179.52</v>
      </c>
      <c r="H647">
        <f t="shared" si="21"/>
        <v>2</v>
      </c>
      <c r="I647" s="6">
        <f t="shared" si="22"/>
        <v>8589.76</v>
      </c>
      <c r="L647" s="19"/>
      <c r="O647" s="2"/>
      <c r="P647" s="3"/>
      <c r="Q647" s="2"/>
      <c r="R647" s="2"/>
      <c r="S647" s="3"/>
      <c r="T647" s="3"/>
      <c r="U647" s="4"/>
      <c r="W647" s="6"/>
    </row>
    <row r="648" spans="1:23" ht="15" thickBot="1" x14ac:dyDescent="0.35">
      <c r="A648" s="2">
        <v>40</v>
      </c>
      <c r="B648" s="3" t="s">
        <v>15</v>
      </c>
      <c r="C648" s="2">
        <v>28.1</v>
      </c>
      <c r="D648" s="2">
        <v>1</v>
      </c>
      <c r="E648" s="3" t="s">
        <v>17</v>
      </c>
      <c r="F648" s="3" t="s">
        <v>9</v>
      </c>
      <c r="G648" s="4">
        <v>22331.57</v>
      </c>
      <c r="H648">
        <f t="shared" si="21"/>
        <v>2</v>
      </c>
      <c r="I648" s="6">
        <f t="shared" si="22"/>
        <v>11165.785</v>
      </c>
      <c r="L648" s="19"/>
      <c r="O648" s="2"/>
      <c r="P648" s="3"/>
      <c r="Q648" s="2"/>
      <c r="R648" s="2"/>
      <c r="S648" s="3"/>
      <c r="T648" s="3"/>
      <c r="U648" s="4"/>
      <c r="W648" s="6"/>
    </row>
    <row r="649" spans="1:23" ht="15" thickBot="1" x14ac:dyDescent="0.35">
      <c r="A649" s="2">
        <v>40</v>
      </c>
      <c r="B649" s="3" t="s">
        <v>14</v>
      </c>
      <c r="C649" s="2">
        <v>34.1</v>
      </c>
      <c r="D649" s="2">
        <v>1</v>
      </c>
      <c r="E649" s="3" t="s">
        <v>16</v>
      </c>
      <c r="F649" s="3" t="s">
        <v>9</v>
      </c>
      <c r="G649" s="4">
        <v>6600.21</v>
      </c>
      <c r="H649">
        <f t="shared" si="21"/>
        <v>2</v>
      </c>
      <c r="I649" s="6">
        <f t="shared" si="22"/>
        <v>3300.105</v>
      </c>
      <c r="L649" s="19"/>
      <c r="O649" s="2"/>
      <c r="P649" s="3"/>
      <c r="Q649" s="2"/>
      <c r="R649" s="2"/>
      <c r="S649" s="3"/>
      <c r="T649" s="3"/>
      <c r="U649" s="4"/>
      <c r="W649" s="6"/>
    </row>
    <row r="650" spans="1:23" ht="15" thickBot="1" x14ac:dyDescent="0.35">
      <c r="A650" s="2">
        <v>40</v>
      </c>
      <c r="B650" s="3" t="s">
        <v>14</v>
      </c>
      <c r="C650" s="2">
        <v>32.799999999999997</v>
      </c>
      <c r="D650" s="2">
        <v>1</v>
      </c>
      <c r="E650" s="3" t="s">
        <v>17</v>
      </c>
      <c r="F650" s="3" t="s">
        <v>9</v>
      </c>
      <c r="G650" s="4">
        <v>39125.33</v>
      </c>
      <c r="H650">
        <f t="shared" si="21"/>
        <v>2</v>
      </c>
      <c r="I650" s="6">
        <f t="shared" si="22"/>
        <v>19562.665000000001</v>
      </c>
      <c r="L650" s="19"/>
      <c r="O650" s="2"/>
      <c r="P650" s="3"/>
      <c r="Q650" s="2"/>
      <c r="R650" s="2"/>
      <c r="S650" s="3"/>
      <c r="T650" s="3"/>
      <c r="U650" s="4"/>
      <c r="W650" s="6"/>
    </row>
    <row r="651" spans="1:23" ht="15" thickBot="1" x14ac:dyDescent="0.35">
      <c r="A651" s="2">
        <v>40</v>
      </c>
      <c r="B651" s="3" t="s">
        <v>15</v>
      </c>
      <c r="C651" s="2">
        <v>29.6</v>
      </c>
      <c r="D651" s="2">
        <v>0</v>
      </c>
      <c r="E651" s="3" t="s">
        <v>16</v>
      </c>
      <c r="F651" s="3" t="s">
        <v>8</v>
      </c>
      <c r="G651" s="4">
        <v>5910.94</v>
      </c>
      <c r="H651">
        <f t="shared" si="21"/>
        <v>1</v>
      </c>
      <c r="I651" s="6">
        <f t="shared" si="22"/>
        <v>5910.94</v>
      </c>
      <c r="L651" s="19"/>
      <c r="O651" s="2"/>
      <c r="P651" s="3"/>
      <c r="Q651" s="2"/>
      <c r="R651" s="2"/>
      <c r="S651" s="3"/>
      <c r="T651" s="3"/>
      <c r="U651" s="4"/>
      <c r="W651" s="6"/>
    </row>
    <row r="652" spans="1:23" ht="15" thickBot="1" x14ac:dyDescent="0.35">
      <c r="A652" s="2">
        <v>40</v>
      </c>
      <c r="B652" s="3" t="s">
        <v>15</v>
      </c>
      <c r="C652" s="2">
        <v>33</v>
      </c>
      <c r="D652" s="2">
        <v>3</v>
      </c>
      <c r="E652" s="3" t="s">
        <v>16</v>
      </c>
      <c r="F652" s="3" t="s">
        <v>10</v>
      </c>
      <c r="G652" s="4">
        <v>7682.67</v>
      </c>
      <c r="H652">
        <f t="shared" si="21"/>
        <v>4</v>
      </c>
      <c r="I652" s="6">
        <f t="shared" si="22"/>
        <v>1920.6675</v>
      </c>
      <c r="L652" s="19"/>
      <c r="O652" s="2"/>
      <c r="P652" s="3"/>
      <c r="Q652" s="2"/>
      <c r="R652" s="2"/>
      <c r="S652" s="3"/>
      <c r="T652" s="3"/>
      <c r="U652" s="4"/>
      <c r="W652" s="6"/>
    </row>
    <row r="653" spans="1:23" ht="15" thickBot="1" x14ac:dyDescent="0.35">
      <c r="A653" s="2">
        <v>40</v>
      </c>
      <c r="B653" s="3" t="s">
        <v>14</v>
      </c>
      <c r="C653" s="2">
        <v>22.7</v>
      </c>
      <c r="D653" s="2">
        <v>2</v>
      </c>
      <c r="E653" s="3" t="s">
        <v>16</v>
      </c>
      <c r="F653" s="3" t="s">
        <v>9</v>
      </c>
      <c r="G653" s="4">
        <v>7173.36</v>
      </c>
      <c r="H653">
        <f t="shared" si="21"/>
        <v>3</v>
      </c>
      <c r="I653" s="6">
        <f t="shared" si="22"/>
        <v>2391.12</v>
      </c>
      <c r="L653" s="19"/>
      <c r="O653" s="2"/>
      <c r="P653" s="3"/>
      <c r="Q653" s="2"/>
      <c r="R653" s="2"/>
      <c r="S653" s="3"/>
      <c r="T653" s="3"/>
      <c r="U653" s="4"/>
      <c r="W653" s="6"/>
    </row>
    <row r="654" spans="1:23" ht="15" thickBot="1" x14ac:dyDescent="0.35">
      <c r="A654" s="2">
        <v>40</v>
      </c>
      <c r="B654" s="3" t="s">
        <v>15</v>
      </c>
      <c r="C654" s="2">
        <v>23.4</v>
      </c>
      <c r="D654" s="2">
        <v>3</v>
      </c>
      <c r="E654" s="3" t="s">
        <v>16</v>
      </c>
      <c r="F654" s="3" t="s">
        <v>9</v>
      </c>
      <c r="G654" s="4">
        <v>8252.2800000000007</v>
      </c>
      <c r="H654">
        <f t="shared" si="21"/>
        <v>4</v>
      </c>
      <c r="I654" s="6">
        <f t="shared" si="22"/>
        <v>2063.0700000000002</v>
      </c>
      <c r="L654" s="19"/>
      <c r="O654" s="2"/>
      <c r="P654" s="3"/>
      <c r="Q654" s="2"/>
      <c r="R654" s="2"/>
      <c r="S654" s="3"/>
      <c r="T654" s="3"/>
      <c r="U654" s="4"/>
      <c r="W654" s="6"/>
    </row>
    <row r="655" spans="1:23" ht="15" thickBot="1" x14ac:dyDescent="0.35">
      <c r="A655" s="2">
        <v>40</v>
      </c>
      <c r="B655" s="3" t="s">
        <v>15</v>
      </c>
      <c r="C655" s="2">
        <v>32.799999999999997</v>
      </c>
      <c r="D655" s="2">
        <v>2</v>
      </c>
      <c r="E655" s="3" t="s">
        <v>17</v>
      </c>
      <c r="F655" s="3" t="s">
        <v>7</v>
      </c>
      <c r="G655" s="4">
        <v>40003.33</v>
      </c>
      <c r="H655">
        <f t="shared" si="21"/>
        <v>3</v>
      </c>
      <c r="I655" s="6">
        <f t="shared" si="22"/>
        <v>13334.443333333335</v>
      </c>
      <c r="L655" s="19"/>
      <c r="O655" s="2"/>
      <c r="P655" s="3"/>
      <c r="Q655" s="2"/>
      <c r="R655" s="2"/>
      <c r="S655" s="3"/>
      <c r="T655" s="3"/>
      <c r="U655" s="4"/>
      <c r="W655" s="6"/>
    </row>
    <row r="656" spans="1:23" ht="15" thickBot="1" x14ac:dyDescent="0.35">
      <c r="A656" s="2">
        <v>40</v>
      </c>
      <c r="B656" s="3" t="s">
        <v>15</v>
      </c>
      <c r="C656" s="2">
        <v>29.8</v>
      </c>
      <c r="D656" s="2">
        <v>1</v>
      </c>
      <c r="E656" s="3" t="s">
        <v>16</v>
      </c>
      <c r="F656" s="3" t="s">
        <v>10</v>
      </c>
      <c r="G656" s="4">
        <v>6500.24</v>
      </c>
      <c r="H656">
        <f t="shared" si="21"/>
        <v>2</v>
      </c>
      <c r="I656" s="6">
        <f t="shared" si="22"/>
        <v>3250.12</v>
      </c>
      <c r="L656" s="19"/>
      <c r="O656" s="2"/>
      <c r="P656" s="3"/>
      <c r="Q656" s="2"/>
      <c r="R656" s="2"/>
      <c r="S656" s="3"/>
      <c r="T656" s="3"/>
      <c r="U656" s="4"/>
      <c r="W656" s="6"/>
    </row>
    <row r="657" spans="1:23" ht="15" thickBot="1" x14ac:dyDescent="0.35">
      <c r="A657" s="2">
        <v>40</v>
      </c>
      <c r="B657" s="3" t="s">
        <v>14</v>
      </c>
      <c r="C657" s="2">
        <v>41.7</v>
      </c>
      <c r="D657" s="2">
        <v>0</v>
      </c>
      <c r="E657" s="3" t="s">
        <v>16</v>
      </c>
      <c r="F657" s="3" t="s">
        <v>10</v>
      </c>
      <c r="G657" s="4">
        <v>5438.75</v>
      </c>
      <c r="H657">
        <f t="shared" si="21"/>
        <v>1</v>
      </c>
      <c r="I657" s="6">
        <f t="shared" si="22"/>
        <v>5438.75</v>
      </c>
      <c r="L657" s="19"/>
      <c r="O657" s="2"/>
      <c r="P657" s="3"/>
      <c r="Q657" s="2"/>
      <c r="R657" s="2"/>
      <c r="S657" s="3"/>
      <c r="T657" s="3"/>
      <c r="U657" s="4"/>
      <c r="W657" s="6"/>
    </row>
    <row r="658" spans="1:23" ht="15" thickBot="1" x14ac:dyDescent="0.35">
      <c r="A658" s="2">
        <v>40</v>
      </c>
      <c r="B658" s="3" t="s">
        <v>14</v>
      </c>
      <c r="C658" s="2">
        <v>32.299999999999997</v>
      </c>
      <c r="D658" s="2">
        <v>2</v>
      </c>
      <c r="E658" s="3" t="s">
        <v>16</v>
      </c>
      <c r="F658" s="3" t="s">
        <v>7</v>
      </c>
      <c r="G658" s="4">
        <v>6986.7</v>
      </c>
      <c r="H658">
        <f t="shared" si="21"/>
        <v>3</v>
      </c>
      <c r="I658" s="6">
        <f t="shared" si="22"/>
        <v>2328.9</v>
      </c>
      <c r="L658" s="19"/>
      <c r="O658" s="2"/>
      <c r="P658" s="3"/>
      <c r="Q658" s="2"/>
      <c r="R658" s="2"/>
      <c r="S658" s="3"/>
      <c r="T658" s="3"/>
      <c r="U658" s="4"/>
      <c r="W658" s="6"/>
    </row>
    <row r="659" spans="1:23" ht="15" thickBot="1" x14ac:dyDescent="0.35">
      <c r="A659" s="2">
        <v>40</v>
      </c>
      <c r="B659" s="3" t="s">
        <v>15</v>
      </c>
      <c r="C659" s="2">
        <v>41.4</v>
      </c>
      <c r="D659" s="2">
        <v>1</v>
      </c>
      <c r="E659" s="3" t="s">
        <v>16</v>
      </c>
      <c r="F659" s="3" t="s">
        <v>7</v>
      </c>
      <c r="G659" s="4">
        <v>28476.73</v>
      </c>
      <c r="H659">
        <f t="shared" si="21"/>
        <v>2</v>
      </c>
      <c r="I659" s="6">
        <f t="shared" si="22"/>
        <v>14238.365</v>
      </c>
      <c r="L659" s="19"/>
      <c r="O659" s="2"/>
      <c r="P659" s="3"/>
      <c r="Q659" s="2"/>
      <c r="R659" s="2"/>
      <c r="S659" s="3"/>
      <c r="T659" s="3"/>
      <c r="U659" s="4"/>
      <c r="W659" s="6"/>
    </row>
    <row r="660" spans="1:23" ht="15" thickBot="1" x14ac:dyDescent="0.35">
      <c r="A660" s="2">
        <v>40</v>
      </c>
      <c r="B660" s="3" t="s">
        <v>14</v>
      </c>
      <c r="C660" s="2">
        <v>29.9</v>
      </c>
      <c r="D660" s="2">
        <v>2</v>
      </c>
      <c r="E660" s="3" t="s">
        <v>16</v>
      </c>
      <c r="F660" s="3" t="s">
        <v>8</v>
      </c>
      <c r="G660" s="4">
        <v>6600.36</v>
      </c>
      <c r="H660">
        <f t="shared" si="21"/>
        <v>3</v>
      </c>
      <c r="I660" s="6">
        <f t="shared" si="22"/>
        <v>2200.12</v>
      </c>
      <c r="L660" s="19"/>
      <c r="O660" s="2"/>
      <c r="P660" s="3"/>
      <c r="Q660" s="2"/>
      <c r="R660" s="2"/>
      <c r="S660" s="3"/>
      <c r="T660" s="3"/>
      <c r="U660" s="4"/>
      <c r="W660" s="6"/>
    </row>
    <row r="661" spans="1:23" ht="15" thickBot="1" x14ac:dyDescent="0.35">
      <c r="A661" s="2">
        <v>40</v>
      </c>
      <c r="B661" s="3" t="s">
        <v>15</v>
      </c>
      <c r="C661" s="2">
        <v>27.4</v>
      </c>
      <c r="D661" s="2">
        <v>1</v>
      </c>
      <c r="E661" s="3" t="s">
        <v>16</v>
      </c>
      <c r="F661" s="3" t="s">
        <v>8</v>
      </c>
      <c r="G661" s="4">
        <v>6496.89</v>
      </c>
      <c r="H661">
        <f t="shared" si="21"/>
        <v>2</v>
      </c>
      <c r="I661" s="6">
        <f t="shared" si="22"/>
        <v>3248.4450000000002</v>
      </c>
      <c r="L661" s="19"/>
      <c r="O661" s="2"/>
      <c r="P661" s="3"/>
      <c r="Q661" s="2"/>
      <c r="R661" s="2"/>
      <c r="S661" s="3"/>
      <c r="T661" s="3"/>
      <c r="U661" s="4"/>
      <c r="W661" s="6"/>
    </row>
    <row r="662" spans="1:23" ht="15" thickBot="1" x14ac:dyDescent="0.35">
      <c r="A662" s="2">
        <v>40</v>
      </c>
      <c r="B662" s="3" t="s">
        <v>14</v>
      </c>
      <c r="C662" s="2">
        <v>29.4</v>
      </c>
      <c r="D662" s="2">
        <v>1</v>
      </c>
      <c r="E662" s="3" t="s">
        <v>16</v>
      </c>
      <c r="F662" s="3" t="s">
        <v>7</v>
      </c>
      <c r="G662" s="4">
        <v>6393.6</v>
      </c>
      <c r="H662">
        <f t="shared" si="21"/>
        <v>2</v>
      </c>
      <c r="I662" s="6">
        <f t="shared" si="22"/>
        <v>3196.8</v>
      </c>
      <c r="L662" s="19"/>
      <c r="O662" s="2"/>
      <c r="P662" s="3"/>
      <c r="Q662" s="2"/>
      <c r="R662" s="2"/>
      <c r="S662" s="3"/>
      <c r="T662" s="3"/>
      <c r="U662" s="4"/>
      <c r="W662" s="6"/>
    </row>
    <row r="663" spans="1:23" ht="15" thickBot="1" x14ac:dyDescent="0.35">
      <c r="A663" s="2">
        <v>40</v>
      </c>
      <c r="B663" s="3" t="s">
        <v>14</v>
      </c>
      <c r="C663" s="2">
        <v>25.1</v>
      </c>
      <c r="D663" s="2">
        <v>0</v>
      </c>
      <c r="E663" s="3" t="s">
        <v>16</v>
      </c>
      <c r="F663" s="3" t="s">
        <v>10</v>
      </c>
      <c r="G663" s="4">
        <v>5415.66</v>
      </c>
      <c r="H663">
        <f t="shared" si="21"/>
        <v>1</v>
      </c>
      <c r="I663" s="6">
        <f t="shared" si="22"/>
        <v>5415.66</v>
      </c>
      <c r="L663" s="19"/>
      <c r="O663" s="2"/>
      <c r="P663" s="3"/>
      <c r="Q663" s="2"/>
      <c r="R663" s="2"/>
      <c r="S663" s="3"/>
      <c r="T663" s="3"/>
      <c r="U663" s="4"/>
      <c r="W663" s="6"/>
    </row>
    <row r="664" spans="1:23" ht="15" thickBot="1" x14ac:dyDescent="0.35">
      <c r="A664" s="2">
        <v>40</v>
      </c>
      <c r="B664" s="3" t="s">
        <v>14</v>
      </c>
      <c r="C664" s="2">
        <v>25</v>
      </c>
      <c r="D664" s="2">
        <v>2</v>
      </c>
      <c r="E664" s="3" t="s">
        <v>16</v>
      </c>
      <c r="F664" s="3" t="s">
        <v>10</v>
      </c>
      <c r="G664" s="4">
        <v>6593.51</v>
      </c>
      <c r="H664">
        <f t="shared" si="21"/>
        <v>3</v>
      </c>
      <c r="I664" s="6">
        <f t="shared" si="22"/>
        <v>2197.8366666666666</v>
      </c>
      <c r="L664" s="19"/>
      <c r="O664" s="2"/>
      <c r="P664" s="3"/>
      <c r="Q664" s="2"/>
      <c r="R664" s="2"/>
      <c r="S664" s="3"/>
      <c r="T664" s="3"/>
      <c r="U664" s="4"/>
      <c r="W664" s="6"/>
    </row>
    <row r="665" spans="1:23" ht="15" thickBot="1" x14ac:dyDescent="0.35">
      <c r="A665" s="2">
        <v>40</v>
      </c>
      <c r="B665" s="3" t="s">
        <v>15</v>
      </c>
      <c r="C665" s="2">
        <v>29.3</v>
      </c>
      <c r="D665" s="2">
        <v>4</v>
      </c>
      <c r="E665" s="3" t="s">
        <v>16</v>
      </c>
      <c r="F665" s="3" t="s">
        <v>8</v>
      </c>
      <c r="G665" s="4">
        <v>15828.82</v>
      </c>
      <c r="H665">
        <f t="shared" si="21"/>
        <v>5</v>
      </c>
      <c r="I665" s="6">
        <f t="shared" si="22"/>
        <v>3165.7640000000001</v>
      </c>
      <c r="L665" s="19"/>
      <c r="O665" s="2"/>
      <c r="P665" s="3"/>
      <c r="Q665" s="2"/>
      <c r="R665" s="2"/>
      <c r="S665" s="3"/>
      <c r="T665" s="3"/>
      <c r="U665" s="4"/>
      <c r="W665" s="6"/>
    </row>
    <row r="666" spans="1:23" ht="15" thickBot="1" x14ac:dyDescent="0.35">
      <c r="A666" s="2">
        <v>39</v>
      </c>
      <c r="B666" s="3" t="s">
        <v>15</v>
      </c>
      <c r="C666" s="2">
        <v>32.799999999999997</v>
      </c>
      <c r="D666" s="2">
        <v>0</v>
      </c>
      <c r="E666" s="3" t="s">
        <v>16</v>
      </c>
      <c r="F666" s="3" t="s">
        <v>8</v>
      </c>
      <c r="G666" s="4">
        <v>5649.72</v>
      </c>
      <c r="H666">
        <f t="shared" si="21"/>
        <v>1</v>
      </c>
      <c r="I666" s="6">
        <f t="shared" si="22"/>
        <v>5649.72</v>
      </c>
      <c r="L666" s="19"/>
      <c r="O666" s="2"/>
      <c r="P666" s="3"/>
      <c r="Q666" s="2"/>
      <c r="R666" s="2"/>
      <c r="S666" s="3"/>
      <c r="T666" s="3"/>
      <c r="U666" s="4"/>
      <c r="W666" s="6"/>
    </row>
    <row r="667" spans="1:23" ht="15" thickBot="1" x14ac:dyDescent="0.35">
      <c r="A667" s="2">
        <v>39</v>
      </c>
      <c r="B667" s="3" t="s">
        <v>14</v>
      </c>
      <c r="C667" s="2">
        <v>24.5</v>
      </c>
      <c r="D667" s="2">
        <v>2</v>
      </c>
      <c r="E667" s="3" t="s">
        <v>16</v>
      </c>
      <c r="F667" s="3" t="s">
        <v>7</v>
      </c>
      <c r="G667" s="4">
        <v>6710.19</v>
      </c>
      <c r="H667">
        <f t="shared" si="21"/>
        <v>3</v>
      </c>
      <c r="I667" s="6">
        <f t="shared" si="22"/>
        <v>2236.73</v>
      </c>
      <c r="L667" s="19"/>
      <c r="O667" s="2"/>
      <c r="P667" s="3"/>
      <c r="Q667" s="2"/>
      <c r="R667" s="2"/>
      <c r="S667" s="3"/>
      <c r="T667" s="3"/>
      <c r="U667" s="4"/>
      <c r="W667" s="6"/>
    </row>
    <row r="668" spans="1:23" ht="15" thickBot="1" x14ac:dyDescent="0.35">
      <c r="A668" s="2">
        <v>39</v>
      </c>
      <c r="B668" s="3" t="s">
        <v>15</v>
      </c>
      <c r="C668" s="2">
        <v>24.9</v>
      </c>
      <c r="D668" s="2">
        <v>3</v>
      </c>
      <c r="E668" s="3" t="s">
        <v>17</v>
      </c>
      <c r="F668" s="3" t="s">
        <v>9</v>
      </c>
      <c r="G668" s="4">
        <v>21659.93</v>
      </c>
      <c r="H668">
        <f t="shared" si="21"/>
        <v>4</v>
      </c>
      <c r="I668" s="6">
        <f t="shared" si="22"/>
        <v>5414.9825000000001</v>
      </c>
      <c r="L668" s="19"/>
      <c r="O668" s="2"/>
      <c r="P668" s="3"/>
      <c r="Q668" s="2"/>
      <c r="R668" s="2"/>
      <c r="S668" s="3"/>
      <c r="T668" s="3"/>
      <c r="U668" s="4"/>
      <c r="W668" s="6"/>
    </row>
    <row r="669" spans="1:23" ht="15" thickBot="1" x14ac:dyDescent="0.35">
      <c r="A669" s="2">
        <v>39</v>
      </c>
      <c r="B669" s="3" t="s">
        <v>14</v>
      </c>
      <c r="C669" s="2">
        <v>29.6</v>
      </c>
      <c r="D669" s="2">
        <v>4</v>
      </c>
      <c r="E669" s="3" t="s">
        <v>16</v>
      </c>
      <c r="F669" s="3" t="s">
        <v>8</v>
      </c>
      <c r="G669" s="4">
        <v>7512.27</v>
      </c>
      <c r="H669">
        <f t="shared" si="21"/>
        <v>5</v>
      </c>
      <c r="I669" s="6">
        <f t="shared" si="22"/>
        <v>1502.4540000000002</v>
      </c>
      <c r="L669" s="19"/>
      <c r="O669" s="2"/>
      <c r="P669" s="3"/>
      <c r="Q669" s="2"/>
      <c r="R669" s="2"/>
      <c r="S669" s="3"/>
      <c r="T669" s="3"/>
      <c r="U669" s="4"/>
      <c r="W669" s="6"/>
    </row>
    <row r="670" spans="1:23" ht="15" thickBot="1" x14ac:dyDescent="0.35">
      <c r="A670" s="2">
        <v>39</v>
      </c>
      <c r="B670" s="3" t="s">
        <v>14</v>
      </c>
      <c r="C670" s="2">
        <v>28.3</v>
      </c>
      <c r="D670" s="2">
        <v>1</v>
      </c>
      <c r="E670" s="3" t="s">
        <v>17</v>
      </c>
      <c r="F670" s="3" t="s">
        <v>8</v>
      </c>
      <c r="G670" s="4">
        <v>21082.16</v>
      </c>
      <c r="H670">
        <f t="shared" si="21"/>
        <v>2</v>
      </c>
      <c r="I670" s="6">
        <f t="shared" si="22"/>
        <v>10541.08</v>
      </c>
      <c r="L670" s="19"/>
      <c r="O670" s="2"/>
      <c r="P670" s="3"/>
      <c r="Q670" s="2"/>
      <c r="R670" s="2"/>
      <c r="S670" s="3"/>
      <c r="T670" s="3"/>
      <c r="U670" s="4"/>
      <c r="W670" s="6"/>
    </row>
    <row r="671" spans="1:23" ht="15" thickBot="1" x14ac:dyDescent="0.35">
      <c r="A671" s="2">
        <v>39</v>
      </c>
      <c r="B671" s="3" t="s">
        <v>14</v>
      </c>
      <c r="C671" s="2">
        <v>45.4</v>
      </c>
      <c r="D671" s="2">
        <v>2</v>
      </c>
      <c r="E671" s="3" t="s">
        <v>16</v>
      </c>
      <c r="F671" s="3" t="s">
        <v>10</v>
      </c>
      <c r="G671" s="4">
        <v>6356.27</v>
      </c>
      <c r="H671">
        <f t="shared" si="21"/>
        <v>3</v>
      </c>
      <c r="I671" s="6">
        <f t="shared" si="22"/>
        <v>2118.7566666666667</v>
      </c>
      <c r="L671" s="19"/>
      <c r="O671" s="2"/>
      <c r="P671" s="3"/>
      <c r="Q671" s="2"/>
      <c r="R671" s="2"/>
      <c r="S671" s="3"/>
      <c r="T671" s="3"/>
      <c r="U671" s="4"/>
      <c r="W671" s="6"/>
    </row>
    <row r="672" spans="1:23" ht="15" thickBot="1" x14ac:dyDescent="0.35">
      <c r="A672" s="2">
        <v>39</v>
      </c>
      <c r="B672" s="3" t="s">
        <v>14</v>
      </c>
      <c r="C672" s="2">
        <v>26.4</v>
      </c>
      <c r="D672" s="2">
        <v>0</v>
      </c>
      <c r="E672" s="3" t="s">
        <v>17</v>
      </c>
      <c r="F672" s="3" t="s">
        <v>9</v>
      </c>
      <c r="G672" s="4">
        <v>20149.32</v>
      </c>
      <c r="H672">
        <f t="shared" si="21"/>
        <v>1</v>
      </c>
      <c r="I672" s="6">
        <f t="shared" si="22"/>
        <v>20149.32</v>
      </c>
      <c r="L672" s="19"/>
      <c r="O672" s="2"/>
      <c r="P672" s="3"/>
      <c r="Q672" s="2"/>
      <c r="R672" s="2"/>
      <c r="S672" s="3"/>
      <c r="T672" s="3"/>
      <c r="U672" s="4"/>
      <c r="W672" s="6"/>
    </row>
    <row r="673" spans="1:23" ht="15" thickBot="1" x14ac:dyDescent="0.35">
      <c r="A673" s="2">
        <v>39</v>
      </c>
      <c r="B673" s="3" t="s">
        <v>14</v>
      </c>
      <c r="C673" s="2">
        <v>26.2</v>
      </c>
      <c r="D673" s="2">
        <v>1</v>
      </c>
      <c r="E673" s="3" t="s">
        <v>16</v>
      </c>
      <c r="F673" s="3" t="s">
        <v>7</v>
      </c>
      <c r="G673" s="4">
        <v>6123.57</v>
      </c>
      <c r="H673">
        <f t="shared" si="21"/>
        <v>2</v>
      </c>
      <c r="I673" s="6">
        <f t="shared" si="22"/>
        <v>3061.7849999999999</v>
      </c>
      <c r="L673" s="19"/>
      <c r="O673" s="2"/>
      <c r="P673" s="3"/>
      <c r="Q673" s="2"/>
      <c r="R673" s="2"/>
      <c r="S673" s="3"/>
      <c r="T673" s="3"/>
      <c r="U673" s="4"/>
      <c r="W673" s="6"/>
    </row>
    <row r="674" spans="1:23" ht="15" thickBot="1" x14ac:dyDescent="0.35">
      <c r="A674" s="2">
        <v>39</v>
      </c>
      <c r="B674" s="3" t="s">
        <v>14</v>
      </c>
      <c r="C674" s="2">
        <v>35.299999999999997</v>
      </c>
      <c r="D674" s="2">
        <v>2</v>
      </c>
      <c r="E674" s="3" t="s">
        <v>17</v>
      </c>
      <c r="F674" s="3" t="s">
        <v>8</v>
      </c>
      <c r="G674" s="4">
        <v>40103.89</v>
      </c>
      <c r="H674">
        <f t="shared" si="21"/>
        <v>3</v>
      </c>
      <c r="I674" s="6">
        <f t="shared" si="22"/>
        <v>13367.963333333333</v>
      </c>
      <c r="L674" s="19"/>
      <c r="O674" s="2"/>
      <c r="P674" s="3"/>
      <c r="Q674" s="2"/>
      <c r="R674" s="2"/>
      <c r="S674" s="3"/>
      <c r="T674" s="3"/>
      <c r="U674" s="4"/>
      <c r="W674" s="6"/>
    </row>
    <row r="675" spans="1:23" ht="15" thickBot="1" x14ac:dyDescent="0.35">
      <c r="A675" s="2">
        <v>39</v>
      </c>
      <c r="B675" s="3" t="s">
        <v>15</v>
      </c>
      <c r="C675" s="2">
        <v>22.8</v>
      </c>
      <c r="D675" s="2">
        <v>3</v>
      </c>
      <c r="E675" s="3" t="s">
        <v>16</v>
      </c>
      <c r="F675" s="3" t="s">
        <v>9</v>
      </c>
      <c r="G675" s="4">
        <v>7985.82</v>
      </c>
      <c r="H675">
        <f t="shared" si="21"/>
        <v>4</v>
      </c>
      <c r="I675" s="6">
        <f t="shared" si="22"/>
        <v>1996.4549999999999</v>
      </c>
      <c r="L675" s="19"/>
      <c r="O675" s="2"/>
      <c r="P675" s="3"/>
      <c r="Q675" s="2"/>
      <c r="R675" s="2"/>
      <c r="S675" s="3"/>
      <c r="T675" s="3"/>
      <c r="U675" s="4"/>
      <c r="W675" s="6"/>
    </row>
    <row r="676" spans="1:23" ht="15" thickBot="1" x14ac:dyDescent="0.35">
      <c r="A676" s="2">
        <v>39</v>
      </c>
      <c r="B676" s="3" t="s">
        <v>15</v>
      </c>
      <c r="C676" s="2">
        <v>41.8</v>
      </c>
      <c r="D676" s="2">
        <v>0</v>
      </c>
      <c r="E676" s="3" t="s">
        <v>16</v>
      </c>
      <c r="F676" s="3" t="s">
        <v>10</v>
      </c>
      <c r="G676" s="4">
        <v>5662.23</v>
      </c>
      <c r="H676">
        <f t="shared" si="21"/>
        <v>1</v>
      </c>
      <c r="I676" s="6">
        <f t="shared" si="22"/>
        <v>5662.23</v>
      </c>
      <c r="L676" s="19"/>
      <c r="O676" s="2"/>
      <c r="P676" s="3"/>
      <c r="Q676" s="2"/>
      <c r="R676" s="2"/>
      <c r="S676" s="3"/>
      <c r="T676" s="3"/>
      <c r="U676" s="4"/>
      <c r="W676" s="6"/>
    </row>
    <row r="677" spans="1:23" ht="15" thickBot="1" x14ac:dyDescent="0.35">
      <c r="A677" s="2">
        <v>39</v>
      </c>
      <c r="B677" s="3" t="s">
        <v>15</v>
      </c>
      <c r="C677" s="2">
        <v>31.9</v>
      </c>
      <c r="D677" s="2">
        <v>2</v>
      </c>
      <c r="E677" s="3" t="s">
        <v>16</v>
      </c>
      <c r="F677" s="3" t="s">
        <v>7</v>
      </c>
      <c r="G677" s="4">
        <v>7209.49</v>
      </c>
      <c r="H677">
        <f t="shared" si="21"/>
        <v>3</v>
      </c>
      <c r="I677" s="6">
        <f t="shared" si="22"/>
        <v>2403.1633333333334</v>
      </c>
      <c r="L677" s="19"/>
      <c r="O677" s="2"/>
      <c r="P677" s="3"/>
      <c r="Q677" s="2"/>
      <c r="R677" s="2"/>
      <c r="S677" s="3"/>
      <c r="T677" s="3"/>
      <c r="U677" s="4"/>
      <c r="W677" s="6"/>
    </row>
    <row r="678" spans="1:23" ht="15" thickBot="1" x14ac:dyDescent="0.35">
      <c r="A678" s="2">
        <v>39</v>
      </c>
      <c r="B678" s="3" t="s">
        <v>14</v>
      </c>
      <c r="C678" s="2">
        <v>21.9</v>
      </c>
      <c r="D678" s="2">
        <v>1</v>
      </c>
      <c r="E678" s="3" t="s">
        <v>16</v>
      </c>
      <c r="F678" s="3" t="s">
        <v>7</v>
      </c>
      <c r="G678" s="4">
        <v>6117.49</v>
      </c>
      <c r="H678">
        <f t="shared" si="21"/>
        <v>2</v>
      </c>
      <c r="I678" s="6">
        <f t="shared" si="22"/>
        <v>3058.7449999999999</v>
      </c>
      <c r="L678" s="19"/>
      <c r="O678" s="2"/>
      <c r="P678" s="3"/>
      <c r="Q678" s="2"/>
      <c r="R678" s="2"/>
      <c r="S678" s="3"/>
      <c r="T678" s="3"/>
      <c r="U678" s="4"/>
      <c r="W678" s="6"/>
    </row>
    <row r="679" spans="1:23" ht="15" thickBot="1" x14ac:dyDescent="0.35">
      <c r="A679" s="2">
        <v>39</v>
      </c>
      <c r="B679" s="3" t="s">
        <v>15</v>
      </c>
      <c r="C679" s="2">
        <v>32.5</v>
      </c>
      <c r="D679" s="2">
        <v>1</v>
      </c>
      <c r="E679" s="3" t="s">
        <v>16</v>
      </c>
      <c r="F679" s="3" t="s">
        <v>8</v>
      </c>
      <c r="G679" s="4">
        <v>6238.3</v>
      </c>
      <c r="H679">
        <f t="shared" si="21"/>
        <v>2</v>
      </c>
      <c r="I679" s="6">
        <f t="shared" si="22"/>
        <v>3119.15</v>
      </c>
      <c r="L679" s="19"/>
      <c r="O679" s="2"/>
      <c r="P679" s="3"/>
      <c r="Q679" s="2"/>
      <c r="R679" s="2"/>
      <c r="S679" s="3"/>
      <c r="T679" s="3"/>
      <c r="U679" s="4"/>
      <c r="W679" s="6"/>
    </row>
    <row r="680" spans="1:23" ht="15" thickBot="1" x14ac:dyDescent="0.35">
      <c r="A680" s="2">
        <v>39</v>
      </c>
      <c r="B680" s="3" t="s">
        <v>15</v>
      </c>
      <c r="C680" s="2">
        <v>24.2</v>
      </c>
      <c r="D680" s="2">
        <v>5</v>
      </c>
      <c r="E680" s="3" t="s">
        <v>16</v>
      </c>
      <c r="F680" s="3" t="s">
        <v>7</v>
      </c>
      <c r="G680" s="4">
        <v>8965.7999999999993</v>
      </c>
      <c r="H680">
        <f t="shared" si="21"/>
        <v>6</v>
      </c>
      <c r="I680" s="6">
        <f t="shared" si="22"/>
        <v>1494.3</v>
      </c>
      <c r="L680" s="19"/>
      <c r="O680" s="2"/>
      <c r="P680" s="3"/>
      <c r="Q680" s="2"/>
      <c r="R680" s="2"/>
      <c r="S680" s="3"/>
      <c r="T680" s="3"/>
      <c r="U680" s="4"/>
      <c r="W680" s="6"/>
    </row>
    <row r="681" spans="1:23" ht="15" thickBot="1" x14ac:dyDescent="0.35">
      <c r="A681" s="2">
        <v>39</v>
      </c>
      <c r="B681" s="3" t="s">
        <v>15</v>
      </c>
      <c r="C681" s="2">
        <v>34.299999999999997</v>
      </c>
      <c r="D681" s="2">
        <v>5</v>
      </c>
      <c r="E681" s="3" t="s">
        <v>16</v>
      </c>
      <c r="F681" s="3" t="s">
        <v>10</v>
      </c>
      <c r="G681" s="4">
        <v>8596.83</v>
      </c>
      <c r="H681">
        <f t="shared" si="21"/>
        <v>6</v>
      </c>
      <c r="I681" s="6">
        <f t="shared" si="22"/>
        <v>1432.8050000000001</v>
      </c>
      <c r="L681" s="19"/>
      <c r="O681" s="2"/>
      <c r="P681" s="3"/>
      <c r="Q681" s="2"/>
      <c r="R681" s="2"/>
      <c r="S681" s="3"/>
      <c r="T681" s="3"/>
      <c r="U681" s="4"/>
      <c r="W681" s="6"/>
    </row>
    <row r="682" spans="1:23" ht="15" thickBot="1" x14ac:dyDescent="0.35">
      <c r="A682" s="2">
        <v>39</v>
      </c>
      <c r="B682" s="3" t="s">
        <v>15</v>
      </c>
      <c r="C682" s="2">
        <v>23.3</v>
      </c>
      <c r="D682" s="2">
        <v>3</v>
      </c>
      <c r="E682" s="3" t="s">
        <v>16</v>
      </c>
      <c r="F682" s="3" t="s">
        <v>9</v>
      </c>
      <c r="G682" s="4">
        <v>7986.48</v>
      </c>
      <c r="H682">
        <f t="shared" si="21"/>
        <v>4</v>
      </c>
      <c r="I682" s="6">
        <f t="shared" si="22"/>
        <v>1996.62</v>
      </c>
      <c r="L682" s="19"/>
      <c r="O682" s="2"/>
      <c r="P682" s="3"/>
      <c r="Q682" s="2"/>
      <c r="R682" s="2"/>
      <c r="S682" s="3"/>
      <c r="T682" s="3"/>
      <c r="U682" s="4"/>
      <c r="W682" s="6"/>
    </row>
    <row r="683" spans="1:23" ht="15" thickBot="1" x14ac:dyDescent="0.35">
      <c r="A683" s="2">
        <v>39</v>
      </c>
      <c r="B683" s="3" t="s">
        <v>15</v>
      </c>
      <c r="C683" s="2">
        <v>34.1</v>
      </c>
      <c r="D683" s="2">
        <v>3</v>
      </c>
      <c r="E683" s="3" t="s">
        <v>16</v>
      </c>
      <c r="F683" s="3" t="s">
        <v>8</v>
      </c>
      <c r="G683" s="4">
        <v>7418.52</v>
      </c>
      <c r="H683">
        <f t="shared" si="21"/>
        <v>4</v>
      </c>
      <c r="I683" s="6">
        <f t="shared" si="22"/>
        <v>1854.63</v>
      </c>
      <c r="L683" s="19"/>
      <c r="O683" s="2"/>
      <c r="P683" s="3"/>
      <c r="Q683" s="2"/>
      <c r="R683" s="2"/>
      <c r="S683" s="3"/>
      <c r="T683" s="3"/>
      <c r="U683" s="4"/>
      <c r="W683" s="6"/>
    </row>
    <row r="684" spans="1:23" ht="15" thickBot="1" x14ac:dyDescent="0.35">
      <c r="A684" s="2">
        <v>39</v>
      </c>
      <c r="B684" s="3" t="s">
        <v>14</v>
      </c>
      <c r="C684" s="2">
        <v>42.7</v>
      </c>
      <c r="D684" s="2">
        <v>0</v>
      </c>
      <c r="E684" s="3" t="s">
        <v>16</v>
      </c>
      <c r="F684" s="3" t="s">
        <v>9</v>
      </c>
      <c r="G684" s="4">
        <v>5757.41</v>
      </c>
      <c r="H684">
        <f t="shared" si="21"/>
        <v>1</v>
      </c>
      <c r="I684" s="6">
        <f t="shared" si="22"/>
        <v>5757.41</v>
      </c>
      <c r="L684" s="19"/>
      <c r="O684" s="2"/>
      <c r="P684" s="3"/>
      <c r="Q684" s="2"/>
      <c r="R684" s="2"/>
      <c r="S684" s="3"/>
      <c r="T684" s="3"/>
      <c r="U684" s="4"/>
      <c r="W684" s="6"/>
    </row>
    <row r="685" spans="1:23" ht="15" thickBot="1" x14ac:dyDescent="0.35">
      <c r="A685" s="2">
        <v>39</v>
      </c>
      <c r="B685" s="3" t="s">
        <v>15</v>
      </c>
      <c r="C685" s="2">
        <v>18.3</v>
      </c>
      <c r="D685" s="2">
        <v>5</v>
      </c>
      <c r="E685" s="3" t="s">
        <v>17</v>
      </c>
      <c r="F685" s="3" t="s">
        <v>8</v>
      </c>
      <c r="G685" s="4">
        <v>19023.259999999998</v>
      </c>
      <c r="H685">
        <f t="shared" si="21"/>
        <v>6</v>
      </c>
      <c r="I685" s="6">
        <f t="shared" si="22"/>
        <v>3170.5433333333331</v>
      </c>
      <c r="L685" s="19"/>
      <c r="O685" s="2"/>
      <c r="P685" s="3"/>
      <c r="Q685" s="2"/>
      <c r="R685" s="2"/>
      <c r="S685" s="3"/>
      <c r="T685" s="3"/>
      <c r="U685" s="4"/>
      <c r="W685" s="6"/>
    </row>
    <row r="686" spans="1:23" ht="15" thickBot="1" x14ac:dyDescent="0.35">
      <c r="A686" s="2">
        <v>39</v>
      </c>
      <c r="B686" s="3" t="s">
        <v>15</v>
      </c>
      <c r="C686" s="2">
        <v>23.9</v>
      </c>
      <c r="D686" s="2">
        <v>5</v>
      </c>
      <c r="E686" s="3" t="s">
        <v>16</v>
      </c>
      <c r="F686" s="3" t="s">
        <v>10</v>
      </c>
      <c r="G686" s="4">
        <v>8582.2999999999993</v>
      </c>
      <c r="H686">
        <f t="shared" si="21"/>
        <v>6</v>
      </c>
      <c r="I686" s="6">
        <f t="shared" si="22"/>
        <v>1430.3833333333332</v>
      </c>
      <c r="L686" s="19"/>
      <c r="O686" s="2"/>
      <c r="P686" s="3"/>
      <c r="Q686" s="2"/>
      <c r="R686" s="2"/>
      <c r="S686" s="3"/>
      <c r="T686" s="3"/>
      <c r="U686" s="4"/>
      <c r="W686" s="6"/>
    </row>
    <row r="687" spans="1:23" ht="15" thickBot="1" x14ac:dyDescent="0.35">
      <c r="A687" s="2">
        <v>39</v>
      </c>
      <c r="B687" s="3" t="s">
        <v>14</v>
      </c>
      <c r="C687" s="2">
        <v>32.299999999999997</v>
      </c>
      <c r="D687" s="2">
        <v>2</v>
      </c>
      <c r="E687" s="3" t="s">
        <v>16</v>
      </c>
      <c r="F687" s="3" t="s">
        <v>10</v>
      </c>
      <c r="G687" s="4">
        <v>6338.08</v>
      </c>
      <c r="H687">
        <f t="shared" si="21"/>
        <v>3</v>
      </c>
      <c r="I687" s="6">
        <f t="shared" si="22"/>
        <v>2112.6933333333332</v>
      </c>
      <c r="L687" s="19"/>
      <c r="O687" s="2"/>
      <c r="P687" s="3"/>
      <c r="Q687" s="2"/>
      <c r="R687" s="2"/>
      <c r="S687" s="3"/>
      <c r="T687" s="3"/>
      <c r="U687" s="4"/>
      <c r="W687" s="6"/>
    </row>
    <row r="688" spans="1:23" ht="15" thickBot="1" x14ac:dyDescent="0.35">
      <c r="A688" s="2">
        <v>39</v>
      </c>
      <c r="B688" s="3" t="s">
        <v>14</v>
      </c>
      <c r="C688" s="2">
        <v>34.1</v>
      </c>
      <c r="D688" s="2">
        <v>2</v>
      </c>
      <c r="E688" s="3" t="s">
        <v>16</v>
      </c>
      <c r="F688" s="3" t="s">
        <v>10</v>
      </c>
      <c r="G688" s="4">
        <v>23563.02</v>
      </c>
      <c r="H688">
        <f t="shared" si="21"/>
        <v>3</v>
      </c>
      <c r="I688" s="6">
        <f t="shared" si="22"/>
        <v>7854.34</v>
      </c>
      <c r="L688" s="19"/>
      <c r="O688" s="2"/>
      <c r="P688" s="3"/>
      <c r="Q688" s="2"/>
      <c r="R688" s="2"/>
      <c r="S688" s="3"/>
      <c r="T688" s="3"/>
      <c r="U688" s="4"/>
      <c r="W688" s="6"/>
    </row>
    <row r="689" spans="1:23" ht="15" thickBot="1" x14ac:dyDescent="0.35">
      <c r="A689" s="2">
        <v>39</v>
      </c>
      <c r="B689" s="3" t="s">
        <v>14</v>
      </c>
      <c r="C689" s="2">
        <v>29.9</v>
      </c>
      <c r="D689" s="2">
        <v>1</v>
      </c>
      <c r="E689" s="3" t="s">
        <v>17</v>
      </c>
      <c r="F689" s="3" t="s">
        <v>9</v>
      </c>
      <c r="G689" s="4">
        <v>22462.04</v>
      </c>
      <c r="H689">
        <f t="shared" si="21"/>
        <v>2</v>
      </c>
      <c r="I689" s="6">
        <f t="shared" si="22"/>
        <v>11231.02</v>
      </c>
      <c r="L689" s="19"/>
      <c r="O689" s="2"/>
      <c r="P689" s="3"/>
      <c r="Q689" s="2"/>
      <c r="R689" s="2"/>
      <c r="S689" s="3"/>
      <c r="T689" s="3"/>
      <c r="U689" s="4"/>
      <c r="W689" s="6"/>
    </row>
    <row r="690" spans="1:23" ht="15" thickBot="1" x14ac:dyDescent="0.35">
      <c r="A690" s="2">
        <v>39</v>
      </c>
      <c r="B690" s="3" t="s">
        <v>15</v>
      </c>
      <c r="C690" s="2">
        <v>26.3</v>
      </c>
      <c r="D690" s="2">
        <v>2</v>
      </c>
      <c r="E690" s="3" t="s">
        <v>16</v>
      </c>
      <c r="F690" s="3" t="s">
        <v>7</v>
      </c>
      <c r="G690" s="4">
        <v>7201.7</v>
      </c>
      <c r="H690">
        <f t="shared" si="21"/>
        <v>3</v>
      </c>
      <c r="I690" s="6">
        <f t="shared" si="22"/>
        <v>2400.5666666666666</v>
      </c>
      <c r="L690" s="19"/>
      <c r="O690" s="2"/>
      <c r="P690" s="3"/>
      <c r="Q690" s="2"/>
      <c r="R690" s="2"/>
      <c r="S690" s="3"/>
      <c r="T690" s="3"/>
      <c r="U690" s="4"/>
      <c r="W690" s="6"/>
    </row>
    <row r="691" spans="1:23" ht="15" thickBot="1" x14ac:dyDescent="0.35">
      <c r="A691" s="2">
        <v>38</v>
      </c>
      <c r="B691" s="3" t="s">
        <v>14</v>
      </c>
      <c r="C691" s="2">
        <v>37.1</v>
      </c>
      <c r="D691" s="2">
        <v>1</v>
      </c>
      <c r="E691" s="3" t="s">
        <v>16</v>
      </c>
      <c r="F691" s="3" t="s">
        <v>9</v>
      </c>
      <c r="G691" s="4">
        <v>6079.67</v>
      </c>
      <c r="H691">
        <f t="shared" si="21"/>
        <v>2</v>
      </c>
      <c r="I691" s="6">
        <f t="shared" si="22"/>
        <v>3039.835</v>
      </c>
      <c r="L691" s="19"/>
      <c r="O691" s="2"/>
      <c r="P691" s="3"/>
      <c r="Q691" s="2"/>
      <c r="R691" s="2"/>
      <c r="S691" s="3"/>
      <c r="T691" s="3"/>
      <c r="U691" s="4"/>
      <c r="W691" s="6"/>
    </row>
    <row r="692" spans="1:23" ht="15" thickBot="1" x14ac:dyDescent="0.35">
      <c r="A692" s="2">
        <v>38</v>
      </c>
      <c r="B692" s="3" t="s">
        <v>14</v>
      </c>
      <c r="C692" s="2">
        <v>19.3</v>
      </c>
      <c r="D692" s="2">
        <v>0</v>
      </c>
      <c r="E692" s="3" t="s">
        <v>17</v>
      </c>
      <c r="F692" s="3" t="s">
        <v>8</v>
      </c>
      <c r="G692" s="4">
        <v>15820.7</v>
      </c>
      <c r="H692">
        <f t="shared" si="21"/>
        <v>1</v>
      </c>
      <c r="I692" s="6">
        <f t="shared" si="22"/>
        <v>15820.7</v>
      </c>
      <c r="L692" s="19"/>
      <c r="O692" s="2"/>
      <c r="P692" s="3"/>
      <c r="Q692" s="2"/>
      <c r="R692" s="2"/>
      <c r="S692" s="3"/>
      <c r="T692" s="3"/>
      <c r="U692" s="4"/>
      <c r="W692" s="6"/>
    </row>
    <row r="693" spans="1:23" ht="15" thickBot="1" x14ac:dyDescent="0.35">
      <c r="A693" s="2">
        <v>38</v>
      </c>
      <c r="B693" s="3" t="s">
        <v>14</v>
      </c>
      <c r="C693" s="2">
        <v>34.700000000000003</v>
      </c>
      <c r="D693" s="2">
        <v>2</v>
      </c>
      <c r="E693" s="3" t="s">
        <v>16</v>
      </c>
      <c r="F693" s="3" t="s">
        <v>8</v>
      </c>
      <c r="G693" s="4">
        <v>6082.41</v>
      </c>
      <c r="H693">
        <f t="shared" si="21"/>
        <v>3</v>
      </c>
      <c r="I693" s="6">
        <f t="shared" si="22"/>
        <v>2027.47</v>
      </c>
      <c r="L693" s="19"/>
      <c r="O693" s="2"/>
      <c r="P693" s="3"/>
      <c r="Q693" s="2"/>
      <c r="R693" s="2"/>
      <c r="S693" s="3"/>
      <c r="T693" s="3"/>
      <c r="U693" s="4"/>
      <c r="W693" s="6"/>
    </row>
    <row r="694" spans="1:23" ht="15" thickBot="1" x14ac:dyDescent="0.35">
      <c r="A694" s="2">
        <v>38</v>
      </c>
      <c r="B694" s="3" t="s">
        <v>14</v>
      </c>
      <c r="C694" s="2">
        <v>27.8</v>
      </c>
      <c r="D694" s="2">
        <v>2</v>
      </c>
      <c r="E694" s="3" t="s">
        <v>16</v>
      </c>
      <c r="F694" s="3" t="s">
        <v>7</v>
      </c>
      <c r="G694" s="4">
        <v>6455.86</v>
      </c>
      <c r="H694">
        <f t="shared" si="21"/>
        <v>3</v>
      </c>
      <c r="I694" s="6">
        <f t="shared" si="22"/>
        <v>2151.9533333333334</v>
      </c>
      <c r="L694" s="19"/>
      <c r="O694" s="2"/>
      <c r="P694" s="3"/>
      <c r="Q694" s="2"/>
      <c r="R694" s="2"/>
      <c r="S694" s="3"/>
      <c r="T694" s="3"/>
      <c r="U694" s="4"/>
      <c r="W694" s="6"/>
    </row>
    <row r="695" spans="1:23" ht="15" thickBot="1" x14ac:dyDescent="0.35">
      <c r="A695" s="2">
        <v>38</v>
      </c>
      <c r="B695" s="3" t="s">
        <v>15</v>
      </c>
      <c r="C695" s="2">
        <v>40.200000000000003</v>
      </c>
      <c r="D695" s="2">
        <v>0</v>
      </c>
      <c r="E695" s="3" t="s">
        <v>16</v>
      </c>
      <c r="F695" s="3" t="s">
        <v>10</v>
      </c>
      <c r="G695" s="4">
        <v>5400.98</v>
      </c>
      <c r="H695">
        <f t="shared" si="21"/>
        <v>1</v>
      </c>
      <c r="I695" s="6">
        <f t="shared" si="22"/>
        <v>5400.98</v>
      </c>
      <c r="L695" s="19"/>
      <c r="O695" s="2"/>
      <c r="P695" s="3"/>
      <c r="Q695" s="2"/>
      <c r="R695" s="2"/>
      <c r="S695" s="3"/>
      <c r="T695" s="3"/>
      <c r="U695" s="4"/>
      <c r="W695" s="6"/>
    </row>
    <row r="696" spans="1:23" ht="15" thickBot="1" x14ac:dyDescent="0.35">
      <c r="A696" s="2">
        <v>38</v>
      </c>
      <c r="B696" s="3" t="s">
        <v>14</v>
      </c>
      <c r="C696" s="2">
        <v>21.1</v>
      </c>
      <c r="D696" s="2">
        <v>3</v>
      </c>
      <c r="E696" s="3" t="s">
        <v>16</v>
      </c>
      <c r="F696" s="3" t="s">
        <v>10</v>
      </c>
      <c r="G696" s="4">
        <v>6652.53</v>
      </c>
      <c r="H696">
        <f t="shared" si="21"/>
        <v>4</v>
      </c>
      <c r="I696" s="6">
        <f t="shared" si="22"/>
        <v>1663.1324999999999</v>
      </c>
      <c r="L696" s="19"/>
      <c r="O696" s="2"/>
      <c r="P696" s="3"/>
      <c r="Q696" s="2"/>
      <c r="R696" s="2"/>
      <c r="S696" s="3"/>
      <c r="T696" s="3"/>
      <c r="U696" s="4"/>
      <c r="W696" s="6"/>
    </row>
    <row r="697" spans="1:23" ht="15" thickBot="1" x14ac:dyDescent="0.35">
      <c r="A697" s="2">
        <v>38</v>
      </c>
      <c r="B697" s="3" t="s">
        <v>15</v>
      </c>
      <c r="C697" s="2">
        <v>27.3</v>
      </c>
      <c r="D697" s="2">
        <v>1</v>
      </c>
      <c r="E697" s="3" t="s">
        <v>16</v>
      </c>
      <c r="F697" s="3" t="s">
        <v>9</v>
      </c>
      <c r="G697" s="4">
        <v>6555.07</v>
      </c>
      <c r="H697">
        <f t="shared" si="21"/>
        <v>2</v>
      </c>
      <c r="I697" s="6">
        <f t="shared" si="22"/>
        <v>3277.5349999999999</v>
      </c>
      <c r="L697" s="19"/>
      <c r="O697" s="2"/>
      <c r="P697" s="3"/>
      <c r="Q697" s="2"/>
      <c r="R697" s="2"/>
      <c r="S697" s="3"/>
      <c r="T697" s="3"/>
      <c r="U697" s="4"/>
      <c r="W697" s="6"/>
    </row>
    <row r="698" spans="1:23" ht="15" thickBot="1" x14ac:dyDescent="0.35">
      <c r="A698" s="2">
        <v>38</v>
      </c>
      <c r="B698" s="3" t="s">
        <v>15</v>
      </c>
      <c r="C698" s="2">
        <v>28.9</v>
      </c>
      <c r="D698" s="2">
        <v>1</v>
      </c>
      <c r="E698" s="3" t="s">
        <v>16</v>
      </c>
      <c r="F698" s="3" t="s">
        <v>10</v>
      </c>
      <c r="G698" s="4">
        <v>5974.38</v>
      </c>
      <c r="H698">
        <f t="shared" si="21"/>
        <v>2</v>
      </c>
      <c r="I698" s="6">
        <f t="shared" si="22"/>
        <v>2987.19</v>
      </c>
      <c r="L698" s="19"/>
      <c r="O698" s="2"/>
      <c r="P698" s="3"/>
      <c r="Q698" s="2"/>
      <c r="R698" s="2"/>
      <c r="S698" s="3"/>
      <c r="T698" s="3"/>
      <c r="U698" s="4"/>
      <c r="W698" s="6"/>
    </row>
    <row r="699" spans="1:23" ht="15" thickBot="1" x14ac:dyDescent="0.35">
      <c r="A699" s="2">
        <v>38</v>
      </c>
      <c r="B699" s="3" t="s">
        <v>15</v>
      </c>
      <c r="C699" s="2">
        <v>37.700000000000003</v>
      </c>
      <c r="D699" s="2">
        <v>0</v>
      </c>
      <c r="E699" s="3" t="s">
        <v>16</v>
      </c>
      <c r="F699" s="3" t="s">
        <v>10</v>
      </c>
      <c r="G699" s="4">
        <v>5397.62</v>
      </c>
      <c r="H699">
        <f t="shared" si="21"/>
        <v>1</v>
      </c>
      <c r="I699" s="6">
        <f t="shared" si="22"/>
        <v>5397.62</v>
      </c>
      <c r="L699" s="19"/>
      <c r="O699" s="2"/>
      <c r="P699" s="3"/>
      <c r="Q699" s="2"/>
      <c r="R699" s="2"/>
      <c r="S699" s="3"/>
      <c r="T699" s="3"/>
      <c r="U699" s="4"/>
      <c r="W699" s="6"/>
    </row>
    <row r="700" spans="1:23" ht="15" thickBot="1" x14ac:dyDescent="0.35">
      <c r="A700" s="2">
        <v>38</v>
      </c>
      <c r="B700" s="3" t="s">
        <v>14</v>
      </c>
      <c r="C700" s="2">
        <v>28</v>
      </c>
      <c r="D700" s="2">
        <v>1</v>
      </c>
      <c r="E700" s="3" t="s">
        <v>16</v>
      </c>
      <c r="F700" s="3" t="s">
        <v>9</v>
      </c>
      <c r="G700" s="4">
        <v>6067.13</v>
      </c>
      <c r="H700">
        <f t="shared" si="21"/>
        <v>2</v>
      </c>
      <c r="I700" s="6">
        <f t="shared" si="22"/>
        <v>3033.5650000000001</v>
      </c>
      <c r="L700" s="19"/>
      <c r="O700" s="2"/>
      <c r="P700" s="3"/>
      <c r="Q700" s="2"/>
      <c r="R700" s="2"/>
      <c r="S700" s="3"/>
      <c r="T700" s="3"/>
      <c r="U700" s="4"/>
      <c r="W700" s="6"/>
    </row>
    <row r="701" spans="1:23" ht="15" thickBot="1" x14ac:dyDescent="0.35">
      <c r="A701" s="2">
        <v>38</v>
      </c>
      <c r="B701" s="3" t="s">
        <v>15</v>
      </c>
      <c r="C701" s="2">
        <v>40.6</v>
      </c>
      <c r="D701" s="2">
        <v>1</v>
      </c>
      <c r="E701" s="3" t="s">
        <v>16</v>
      </c>
      <c r="F701" s="3" t="s">
        <v>7</v>
      </c>
      <c r="G701" s="4">
        <v>6373.56</v>
      </c>
      <c r="H701">
        <f t="shared" si="21"/>
        <v>2</v>
      </c>
      <c r="I701" s="6">
        <f t="shared" si="22"/>
        <v>3186.78</v>
      </c>
      <c r="L701" s="19"/>
      <c r="O701" s="2"/>
      <c r="P701" s="3"/>
      <c r="Q701" s="2"/>
      <c r="R701" s="2"/>
      <c r="S701" s="3"/>
      <c r="T701" s="3"/>
      <c r="U701" s="4"/>
      <c r="W701" s="6"/>
    </row>
    <row r="702" spans="1:23" ht="15" thickBot="1" x14ac:dyDescent="0.35">
      <c r="A702" s="2">
        <v>38</v>
      </c>
      <c r="B702" s="3" t="s">
        <v>15</v>
      </c>
      <c r="C702" s="2">
        <v>30.7</v>
      </c>
      <c r="D702" s="2">
        <v>1</v>
      </c>
      <c r="E702" s="3" t="s">
        <v>16</v>
      </c>
      <c r="F702" s="3" t="s">
        <v>10</v>
      </c>
      <c r="G702" s="4">
        <v>5976.83</v>
      </c>
      <c r="H702">
        <f t="shared" si="21"/>
        <v>2</v>
      </c>
      <c r="I702" s="6">
        <f t="shared" si="22"/>
        <v>2988.415</v>
      </c>
      <c r="L702" s="19"/>
      <c r="O702" s="2"/>
      <c r="P702" s="3"/>
      <c r="Q702" s="2"/>
      <c r="R702" s="2"/>
      <c r="S702" s="3"/>
      <c r="T702" s="3"/>
      <c r="U702" s="4"/>
      <c r="W702" s="6"/>
    </row>
    <row r="703" spans="1:23" ht="15" thickBot="1" x14ac:dyDescent="0.35">
      <c r="A703" s="2">
        <v>38</v>
      </c>
      <c r="B703" s="3" t="s">
        <v>15</v>
      </c>
      <c r="C703" s="2">
        <v>34.799999999999997</v>
      </c>
      <c r="D703" s="2">
        <v>2</v>
      </c>
      <c r="E703" s="3" t="s">
        <v>16</v>
      </c>
      <c r="F703" s="3" t="s">
        <v>8</v>
      </c>
      <c r="G703" s="4">
        <v>6571.54</v>
      </c>
      <c r="H703">
        <f t="shared" si="21"/>
        <v>3</v>
      </c>
      <c r="I703" s="6">
        <f t="shared" si="22"/>
        <v>2190.5133333333333</v>
      </c>
      <c r="L703" s="19"/>
      <c r="O703" s="2"/>
      <c r="P703" s="3"/>
      <c r="Q703" s="2"/>
      <c r="R703" s="2"/>
      <c r="S703" s="3"/>
      <c r="T703" s="3"/>
      <c r="U703" s="4"/>
      <c r="W703" s="6"/>
    </row>
    <row r="704" spans="1:23" ht="15" thickBot="1" x14ac:dyDescent="0.35">
      <c r="A704" s="2">
        <v>38</v>
      </c>
      <c r="B704" s="3" t="s">
        <v>15</v>
      </c>
      <c r="C704" s="2">
        <v>19.5</v>
      </c>
      <c r="D704" s="2">
        <v>2</v>
      </c>
      <c r="E704" s="3" t="s">
        <v>16</v>
      </c>
      <c r="F704" s="3" t="s">
        <v>7</v>
      </c>
      <c r="G704" s="4">
        <v>6933.24</v>
      </c>
      <c r="H704">
        <f t="shared" si="21"/>
        <v>3</v>
      </c>
      <c r="I704" s="6">
        <f t="shared" si="22"/>
        <v>2311.08</v>
      </c>
      <c r="L704" s="19"/>
      <c r="O704" s="2"/>
      <c r="P704" s="3"/>
      <c r="Q704" s="2"/>
      <c r="R704" s="2"/>
      <c r="S704" s="3"/>
      <c r="T704" s="3"/>
      <c r="U704" s="4"/>
      <c r="W704" s="6"/>
    </row>
    <row r="705" spans="1:23" ht="15" thickBot="1" x14ac:dyDescent="0.35">
      <c r="A705" s="2">
        <v>38</v>
      </c>
      <c r="B705" s="3" t="s">
        <v>15</v>
      </c>
      <c r="C705" s="2">
        <v>28</v>
      </c>
      <c r="D705" s="2">
        <v>3</v>
      </c>
      <c r="E705" s="3" t="s">
        <v>16</v>
      </c>
      <c r="F705" s="3" t="s">
        <v>8</v>
      </c>
      <c r="G705" s="4">
        <v>7151.09</v>
      </c>
      <c r="H705">
        <f t="shared" si="21"/>
        <v>4</v>
      </c>
      <c r="I705" s="6">
        <f t="shared" si="22"/>
        <v>1787.7725</v>
      </c>
      <c r="L705" s="19"/>
      <c r="O705" s="2"/>
      <c r="P705" s="3"/>
      <c r="Q705" s="2"/>
      <c r="R705" s="2"/>
      <c r="S705" s="3"/>
      <c r="T705" s="3"/>
      <c r="U705" s="4"/>
      <c r="W705" s="6"/>
    </row>
    <row r="706" spans="1:23" ht="15" thickBot="1" x14ac:dyDescent="0.35">
      <c r="A706" s="2">
        <v>38</v>
      </c>
      <c r="B706" s="3" t="s">
        <v>14</v>
      </c>
      <c r="C706" s="2">
        <v>31</v>
      </c>
      <c r="D706" s="2">
        <v>1</v>
      </c>
      <c r="E706" s="3" t="s">
        <v>16</v>
      </c>
      <c r="F706" s="3" t="s">
        <v>8</v>
      </c>
      <c r="G706" s="4">
        <v>5488.26</v>
      </c>
      <c r="H706">
        <f t="shared" si="21"/>
        <v>2</v>
      </c>
      <c r="I706" s="6">
        <f t="shared" si="22"/>
        <v>2744.13</v>
      </c>
      <c r="L706" s="19"/>
      <c r="O706" s="2"/>
      <c r="P706" s="3"/>
      <c r="Q706" s="2"/>
      <c r="R706" s="2"/>
      <c r="S706" s="3"/>
      <c r="T706" s="3"/>
      <c r="U706" s="4"/>
      <c r="W706" s="6"/>
    </row>
    <row r="707" spans="1:23" ht="15" thickBot="1" x14ac:dyDescent="0.35">
      <c r="A707" s="2">
        <v>38</v>
      </c>
      <c r="B707" s="3" t="s">
        <v>15</v>
      </c>
      <c r="C707" s="2">
        <v>27.8</v>
      </c>
      <c r="D707" s="2">
        <v>2</v>
      </c>
      <c r="E707" s="3" t="s">
        <v>16</v>
      </c>
      <c r="F707" s="3" t="s">
        <v>9</v>
      </c>
      <c r="G707" s="4">
        <v>7144.86</v>
      </c>
      <c r="H707">
        <f t="shared" ref="H707:H770" si="23">D707+1</f>
        <v>3</v>
      </c>
      <c r="I707" s="6">
        <f t="shared" ref="I707:I770" si="24">G707/H707</f>
        <v>2381.62</v>
      </c>
      <c r="L707" s="19"/>
      <c r="O707" s="2"/>
      <c r="P707" s="3"/>
      <c r="Q707" s="2"/>
      <c r="R707" s="2"/>
      <c r="S707" s="3"/>
      <c r="T707" s="3"/>
      <c r="U707" s="4"/>
      <c r="W707" s="6"/>
    </row>
    <row r="708" spans="1:23" ht="15" thickBot="1" x14ac:dyDescent="0.35">
      <c r="A708" s="2">
        <v>38</v>
      </c>
      <c r="B708" s="3" t="s">
        <v>14</v>
      </c>
      <c r="C708" s="2">
        <v>28.3</v>
      </c>
      <c r="D708" s="2">
        <v>1</v>
      </c>
      <c r="E708" s="3" t="s">
        <v>16</v>
      </c>
      <c r="F708" s="3" t="s">
        <v>10</v>
      </c>
      <c r="G708" s="4">
        <v>5484.47</v>
      </c>
      <c r="H708">
        <f t="shared" si="23"/>
        <v>2</v>
      </c>
      <c r="I708" s="6">
        <f t="shared" si="24"/>
        <v>2742.2350000000001</v>
      </c>
      <c r="L708" s="19"/>
      <c r="O708" s="2"/>
      <c r="P708" s="3"/>
      <c r="Q708" s="2"/>
      <c r="R708" s="2"/>
      <c r="S708" s="3"/>
      <c r="T708" s="3"/>
      <c r="U708" s="4"/>
      <c r="W708" s="6"/>
    </row>
    <row r="709" spans="1:23" ht="15" thickBot="1" x14ac:dyDescent="0.35">
      <c r="A709" s="2">
        <v>38</v>
      </c>
      <c r="B709" s="3" t="s">
        <v>15</v>
      </c>
      <c r="C709" s="2">
        <v>27.6</v>
      </c>
      <c r="D709" s="2">
        <v>0</v>
      </c>
      <c r="E709" s="3" t="s">
        <v>16</v>
      </c>
      <c r="F709" s="3" t="s">
        <v>8</v>
      </c>
      <c r="G709" s="4">
        <v>5383.54</v>
      </c>
      <c r="H709">
        <f t="shared" si="23"/>
        <v>1</v>
      </c>
      <c r="I709" s="6">
        <f t="shared" si="24"/>
        <v>5383.54</v>
      </c>
      <c r="L709" s="19"/>
      <c r="O709" s="2"/>
      <c r="P709" s="3"/>
      <c r="Q709" s="2"/>
      <c r="R709" s="2"/>
      <c r="S709" s="3"/>
      <c r="T709" s="3"/>
      <c r="U709" s="4"/>
      <c r="W709" s="6"/>
    </row>
    <row r="710" spans="1:23" ht="15" thickBot="1" x14ac:dyDescent="0.35">
      <c r="A710" s="2">
        <v>38</v>
      </c>
      <c r="B710" s="3" t="s">
        <v>14</v>
      </c>
      <c r="C710" s="2">
        <v>20</v>
      </c>
      <c r="D710" s="2">
        <v>1</v>
      </c>
      <c r="E710" s="3" t="s">
        <v>16</v>
      </c>
      <c r="F710" s="3" t="s">
        <v>7</v>
      </c>
      <c r="G710" s="4">
        <v>5855.9</v>
      </c>
      <c r="H710">
        <f t="shared" si="23"/>
        <v>2</v>
      </c>
      <c r="I710" s="6">
        <f t="shared" si="24"/>
        <v>2927.95</v>
      </c>
      <c r="L710" s="19"/>
      <c r="O710" s="2"/>
      <c r="P710" s="3"/>
      <c r="Q710" s="2"/>
      <c r="R710" s="2"/>
      <c r="S710" s="3"/>
      <c r="T710" s="3"/>
      <c r="U710" s="4"/>
      <c r="W710" s="6"/>
    </row>
    <row r="711" spans="1:23" ht="15" thickBot="1" x14ac:dyDescent="0.35">
      <c r="A711" s="2">
        <v>38</v>
      </c>
      <c r="B711" s="3" t="s">
        <v>14</v>
      </c>
      <c r="C711" s="2">
        <v>38.4</v>
      </c>
      <c r="D711" s="2">
        <v>3</v>
      </c>
      <c r="E711" s="3" t="s">
        <v>17</v>
      </c>
      <c r="F711" s="3" t="s">
        <v>10</v>
      </c>
      <c r="G711" s="4">
        <v>41949.24</v>
      </c>
      <c r="H711">
        <f t="shared" si="23"/>
        <v>4</v>
      </c>
      <c r="I711" s="6">
        <f t="shared" si="24"/>
        <v>10487.31</v>
      </c>
      <c r="L711" s="19"/>
      <c r="O711" s="2"/>
      <c r="P711" s="3"/>
      <c r="Q711" s="2"/>
      <c r="R711" s="2"/>
      <c r="S711" s="3"/>
      <c r="T711" s="3"/>
      <c r="U711" s="4"/>
      <c r="W711" s="6"/>
    </row>
    <row r="712" spans="1:23" ht="15" thickBot="1" x14ac:dyDescent="0.35">
      <c r="A712" s="2">
        <v>38</v>
      </c>
      <c r="B712" s="3" t="s">
        <v>14</v>
      </c>
      <c r="C712" s="2">
        <v>29.3</v>
      </c>
      <c r="D712" s="2">
        <v>2</v>
      </c>
      <c r="E712" s="3" t="s">
        <v>16</v>
      </c>
      <c r="F712" s="3" t="s">
        <v>7</v>
      </c>
      <c r="G712" s="4">
        <v>6457.84</v>
      </c>
      <c r="H712">
        <f t="shared" si="23"/>
        <v>3</v>
      </c>
      <c r="I712" s="6">
        <f t="shared" si="24"/>
        <v>2152.6133333333332</v>
      </c>
      <c r="L712" s="19"/>
      <c r="O712" s="2"/>
      <c r="P712" s="3"/>
      <c r="Q712" s="2"/>
      <c r="R712" s="2"/>
      <c r="S712" s="3"/>
      <c r="T712" s="3"/>
      <c r="U712" s="4"/>
      <c r="W712" s="6"/>
    </row>
    <row r="713" spans="1:23" ht="15" thickBot="1" x14ac:dyDescent="0.35">
      <c r="A713" s="2">
        <v>38</v>
      </c>
      <c r="B713" s="3" t="s">
        <v>15</v>
      </c>
      <c r="C713" s="2">
        <v>30.2</v>
      </c>
      <c r="D713" s="2">
        <v>3</v>
      </c>
      <c r="E713" s="3" t="s">
        <v>16</v>
      </c>
      <c r="F713" s="3" t="s">
        <v>7</v>
      </c>
      <c r="G713" s="4">
        <v>7537.16</v>
      </c>
      <c r="H713">
        <f t="shared" si="23"/>
        <v>4</v>
      </c>
      <c r="I713" s="6">
        <f t="shared" si="24"/>
        <v>1884.29</v>
      </c>
      <c r="L713" s="19"/>
      <c r="O713" s="2"/>
      <c r="P713" s="3"/>
      <c r="Q713" s="2"/>
      <c r="R713" s="2"/>
      <c r="S713" s="3"/>
      <c r="T713" s="3"/>
      <c r="U713" s="4"/>
      <c r="W713" s="6"/>
    </row>
    <row r="714" spans="1:23" ht="15" thickBot="1" x14ac:dyDescent="0.35">
      <c r="A714" s="2">
        <v>38</v>
      </c>
      <c r="B714" s="3" t="s">
        <v>14</v>
      </c>
      <c r="C714" s="2">
        <v>16.8</v>
      </c>
      <c r="D714" s="2">
        <v>2</v>
      </c>
      <c r="E714" s="3" t="s">
        <v>16</v>
      </c>
      <c r="F714" s="3" t="s">
        <v>9</v>
      </c>
      <c r="G714" s="4">
        <v>6640.54</v>
      </c>
      <c r="H714">
        <f t="shared" si="23"/>
        <v>3</v>
      </c>
      <c r="I714" s="6">
        <f t="shared" si="24"/>
        <v>2213.5133333333333</v>
      </c>
      <c r="L714" s="19"/>
      <c r="O714" s="2"/>
      <c r="P714" s="3"/>
      <c r="Q714" s="2"/>
      <c r="R714" s="2"/>
      <c r="S714" s="3"/>
      <c r="T714" s="3"/>
      <c r="U714" s="4"/>
      <c r="W714" s="6"/>
    </row>
    <row r="715" spans="1:23" ht="15" thickBot="1" x14ac:dyDescent="0.35">
      <c r="A715" s="2">
        <v>38</v>
      </c>
      <c r="B715" s="3" t="s">
        <v>15</v>
      </c>
      <c r="C715" s="2">
        <v>20</v>
      </c>
      <c r="D715" s="2">
        <v>2</v>
      </c>
      <c r="E715" s="3" t="s">
        <v>16</v>
      </c>
      <c r="F715" s="3" t="s">
        <v>9</v>
      </c>
      <c r="G715" s="4">
        <v>7133.9</v>
      </c>
      <c r="H715">
        <f t="shared" si="23"/>
        <v>3</v>
      </c>
      <c r="I715" s="6">
        <f t="shared" si="24"/>
        <v>2377.9666666666667</v>
      </c>
      <c r="L715" s="19"/>
      <c r="O715" s="2"/>
      <c r="P715" s="3"/>
      <c r="Q715" s="2"/>
      <c r="R715" s="2"/>
      <c r="S715" s="3"/>
      <c r="T715" s="3"/>
      <c r="U715" s="4"/>
      <c r="W715" s="6"/>
    </row>
    <row r="716" spans="1:23" ht="15" thickBot="1" x14ac:dyDescent="0.35">
      <c r="A716" s="2">
        <v>37</v>
      </c>
      <c r="B716" s="3" t="s">
        <v>15</v>
      </c>
      <c r="C716" s="2">
        <v>27.7</v>
      </c>
      <c r="D716" s="2">
        <v>3</v>
      </c>
      <c r="E716" s="3" t="s">
        <v>16</v>
      </c>
      <c r="F716" s="3" t="s">
        <v>7</v>
      </c>
      <c r="G716" s="4">
        <v>7281.51</v>
      </c>
      <c r="H716">
        <f t="shared" si="23"/>
        <v>4</v>
      </c>
      <c r="I716" s="6">
        <f t="shared" si="24"/>
        <v>1820.3775000000001</v>
      </c>
      <c r="L716" s="19"/>
      <c r="O716" s="2"/>
      <c r="P716" s="3"/>
      <c r="Q716" s="2"/>
      <c r="R716" s="2"/>
      <c r="S716" s="3"/>
      <c r="T716" s="3"/>
      <c r="U716" s="4"/>
      <c r="W716" s="6"/>
    </row>
    <row r="717" spans="1:23" ht="15" thickBot="1" x14ac:dyDescent="0.35">
      <c r="A717" s="2">
        <v>37</v>
      </c>
      <c r="B717" s="3" t="s">
        <v>14</v>
      </c>
      <c r="C717" s="2">
        <v>29.8</v>
      </c>
      <c r="D717" s="2">
        <v>2</v>
      </c>
      <c r="E717" s="3" t="s">
        <v>16</v>
      </c>
      <c r="F717" s="3" t="s">
        <v>9</v>
      </c>
      <c r="G717" s="4">
        <v>6406.41</v>
      </c>
      <c r="H717">
        <f t="shared" si="23"/>
        <v>3</v>
      </c>
      <c r="I717" s="6">
        <f t="shared" si="24"/>
        <v>2135.4699999999998</v>
      </c>
      <c r="L717" s="19"/>
      <c r="O717" s="2"/>
      <c r="P717" s="3"/>
      <c r="Q717" s="2"/>
      <c r="R717" s="2"/>
      <c r="S717" s="3"/>
      <c r="T717" s="3"/>
      <c r="U717" s="4"/>
      <c r="W717" s="6"/>
    </row>
    <row r="718" spans="1:23" ht="15" thickBot="1" x14ac:dyDescent="0.35">
      <c r="A718" s="2">
        <v>37</v>
      </c>
      <c r="B718" s="3" t="s">
        <v>14</v>
      </c>
      <c r="C718" s="2">
        <v>28</v>
      </c>
      <c r="D718" s="2">
        <v>2</v>
      </c>
      <c r="E718" s="3" t="s">
        <v>16</v>
      </c>
      <c r="F718" s="3" t="s">
        <v>7</v>
      </c>
      <c r="G718" s="4">
        <v>6203.9</v>
      </c>
      <c r="H718">
        <f t="shared" si="23"/>
        <v>3</v>
      </c>
      <c r="I718" s="6">
        <f t="shared" si="24"/>
        <v>2067.9666666666667</v>
      </c>
      <c r="L718" s="19"/>
      <c r="O718" s="2"/>
      <c r="P718" s="3"/>
      <c r="Q718" s="2"/>
      <c r="R718" s="2"/>
      <c r="S718" s="3"/>
      <c r="T718" s="3"/>
      <c r="U718" s="4"/>
      <c r="W718" s="6"/>
    </row>
    <row r="719" spans="1:23" ht="15" thickBot="1" x14ac:dyDescent="0.35">
      <c r="A719" s="2">
        <v>37</v>
      </c>
      <c r="B719" s="3" t="s">
        <v>15</v>
      </c>
      <c r="C719" s="2">
        <v>30.8</v>
      </c>
      <c r="D719" s="2">
        <v>2</v>
      </c>
      <c r="E719" s="3" t="s">
        <v>16</v>
      </c>
      <c r="F719" s="3" t="s">
        <v>10</v>
      </c>
      <c r="G719" s="4">
        <v>6313.76</v>
      </c>
      <c r="H719">
        <f t="shared" si="23"/>
        <v>3</v>
      </c>
      <c r="I719" s="6">
        <f t="shared" si="24"/>
        <v>2104.5866666666666</v>
      </c>
      <c r="L719" s="19"/>
      <c r="O719" s="2"/>
      <c r="P719" s="3"/>
      <c r="Q719" s="2"/>
      <c r="R719" s="2"/>
      <c r="S719" s="3"/>
      <c r="T719" s="3"/>
      <c r="U719" s="4"/>
      <c r="W719" s="6"/>
    </row>
    <row r="720" spans="1:23" ht="15" thickBot="1" x14ac:dyDescent="0.35">
      <c r="A720" s="2">
        <v>37</v>
      </c>
      <c r="B720" s="3" t="s">
        <v>15</v>
      </c>
      <c r="C720" s="2">
        <v>34.799999999999997</v>
      </c>
      <c r="D720" s="2">
        <v>2</v>
      </c>
      <c r="E720" s="3" t="s">
        <v>17</v>
      </c>
      <c r="F720" s="3" t="s">
        <v>8</v>
      </c>
      <c r="G720" s="4">
        <v>39836.519999999997</v>
      </c>
      <c r="H720">
        <f t="shared" si="23"/>
        <v>3</v>
      </c>
      <c r="I720" s="6">
        <f t="shared" si="24"/>
        <v>13278.839999999998</v>
      </c>
      <c r="L720" s="19"/>
      <c r="O720" s="2"/>
      <c r="P720" s="3"/>
      <c r="Q720" s="2"/>
      <c r="R720" s="2"/>
      <c r="S720" s="3"/>
      <c r="T720" s="3"/>
      <c r="U720" s="4"/>
      <c r="W720" s="6"/>
    </row>
    <row r="721" spans="1:23" ht="15" thickBot="1" x14ac:dyDescent="0.35">
      <c r="A721" s="2">
        <v>37</v>
      </c>
      <c r="B721" s="3" t="s">
        <v>14</v>
      </c>
      <c r="C721" s="2">
        <v>30.8</v>
      </c>
      <c r="D721" s="2">
        <v>0</v>
      </c>
      <c r="E721" s="3" t="s">
        <v>16</v>
      </c>
      <c r="F721" s="3" t="s">
        <v>8</v>
      </c>
      <c r="G721" s="4">
        <v>4646.76</v>
      </c>
      <c r="H721">
        <f t="shared" si="23"/>
        <v>1</v>
      </c>
      <c r="I721" s="6">
        <f t="shared" si="24"/>
        <v>4646.76</v>
      </c>
      <c r="L721" s="19"/>
      <c r="O721" s="2"/>
      <c r="P721" s="3"/>
      <c r="Q721" s="2"/>
      <c r="R721" s="2"/>
      <c r="S721" s="3"/>
      <c r="T721" s="3"/>
      <c r="U721" s="4"/>
      <c r="W721" s="6"/>
    </row>
    <row r="722" spans="1:23" ht="15" thickBot="1" x14ac:dyDescent="0.35">
      <c r="A722" s="2">
        <v>37</v>
      </c>
      <c r="B722" s="3" t="s">
        <v>15</v>
      </c>
      <c r="C722" s="2">
        <v>23.4</v>
      </c>
      <c r="D722" s="2">
        <v>2</v>
      </c>
      <c r="E722" s="3" t="s">
        <v>16</v>
      </c>
      <c r="F722" s="3" t="s">
        <v>7</v>
      </c>
      <c r="G722" s="4">
        <v>6686.43</v>
      </c>
      <c r="H722">
        <f t="shared" si="23"/>
        <v>3</v>
      </c>
      <c r="I722" s="6">
        <f t="shared" si="24"/>
        <v>2228.81</v>
      </c>
      <c r="L722" s="19"/>
      <c r="O722" s="2"/>
      <c r="P722" s="3"/>
      <c r="Q722" s="2"/>
      <c r="R722" s="2"/>
      <c r="S722" s="3"/>
      <c r="T722" s="3"/>
      <c r="U722" s="4"/>
      <c r="W722" s="6"/>
    </row>
    <row r="723" spans="1:23" ht="15" thickBot="1" x14ac:dyDescent="0.35">
      <c r="A723" s="2">
        <v>37</v>
      </c>
      <c r="B723" s="3" t="s">
        <v>14</v>
      </c>
      <c r="C723" s="2">
        <v>29.6</v>
      </c>
      <c r="D723" s="2">
        <v>0</v>
      </c>
      <c r="E723" s="3" t="s">
        <v>16</v>
      </c>
      <c r="F723" s="3" t="s">
        <v>7</v>
      </c>
      <c r="G723" s="4">
        <v>5028.1499999999996</v>
      </c>
      <c r="H723">
        <f t="shared" si="23"/>
        <v>1</v>
      </c>
      <c r="I723" s="6">
        <f t="shared" si="24"/>
        <v>5028.1499999999996</v>
      </c>
      <c r="L723" s="19"/>
      <c r="O723" s="2"/>
      <c r="P723" s="3"/>
      <c r="Q723" s="2"/>
      <c r="R723" s="2"/>
      <c r="S723" s="3"/>
      <c r="T723" s="3"/>
      <c r="U723" s="4"/>
      <c r="W723" s="6"/>
    </row>
    <row r="724" spans="1:23" ht="15" thickBot="1" x14ac:dyDescent="0.35">
      <c r="A724" s="2">
        <v>37</v>
      </c>
      <c r="B724" s="3" t="s">
        <v>14</v>
      </c>
      <c r="C724" s="2">
        <v>30.9</v>
      </c>
      <c r="D724" s="2">
        <v>3</v>
      </c>
      <c r="E724" s="3" t="s">
        <v>16</v>
      </c>
      <c r="F724" s="3" t="s">
        <v>7</v>
      </c>
      <c r="G724" s="4">
        <v>6796.86</v>
      </c>
      <c r="H724">
        <f t="shared" si="23"/>
        <v>4</v>
      </c>
      <c r="I724" s="6">
        <f t="shared" si="24"/>
        <v>1699.2149999999999</v>
      </c>
      <c r="L724" s="19"/>
      <c r="O724" s="2"/>
      <c r="P724" s="3"/>
      <c r="Q724" s="2"/>
      <c r="R724" s="2"/>
      <c r="S724" s="3"/>
      <c r="T724" s="3"/>
      <c r="U724" s="4"/>
      <c r="W724" s="6"/>
    </row>
    <row r="725" spans="1:23" ht="15" thickBot="1" x14ac:dyDescent="0.35">
      <c r="A725" s="2">
        <v>37</v>
      </c>
      <c r="B725" s="3" t="s">
        <v>14</v>
      </c>
      <c r="C725" s="2">
        <v>36.200000000000003</v>
      </c>
      <c r="D725" s="2">
        <v>0</v>
      </c>
      <c r="E725" s="3" t="s">
        <v>16</v>
      </c>
      <c r="F725" s="3" t="s">
        <v>10</v>
      </c>
      <c r="G725" s="4">
        <v>19214.71</v>
      </c>
      <c r="H725">
        <f t="shared" si="23"/>
        <v>1</v>
      </c>
      <c r="I725" s="6">
        <f t="shared" si="24"/>
        <v>19214.71</v>
      </c>
      <c r="L725" s="19"/>
      <c r="O725" s="2"/>
      <c r="P725" s="3"/>
      <c r="Q725" s="2"/>
      <c r="R725" s="2"/>
      <c r="S725" s="3"/>
      <c r="T725" s="3"/>
      <c r="U725" s="4"/>
      <c r="W725" s="6"/>
    </row>
    <row r="726" spans="1:23" ht="15" thickBot="1" x14ac:dyDescent="0.35">
      <c r="A726" s="2">
        <v>37</v>
      </c>
      <c r="B726" s="3" t="s">
        <v>14</v>
      </c>
      <c r="C726" s="2">
        <v>34.1</v>
      </c>
      <c r="D726" s="2">
        <v>4</v>
      </c>
      <c r="E726" s="3" t="s">
        <v>17</v>
      </c>
      <c r="F726" s="3" t="s">
        <v>8</v>
      </c>
      <c r="G726" s="4">
        <v>40182.25</v>
      </c>
      <c r="H726">
        <f t="shared" si="23"/>
        <v>5</v>
      </c>
      <c r="I726" s="6">
        <f t="shared" si="24"/>
        <v>8036.45</v>
      </c>
      <c r="L726" s="19"/>
      <c r="O726" s="2"/>
      <c r="P726" s="3"/>
      <c r="Q726" s="2"/>
      <c r="R726" s="2"/>
      <c r="S726" s="3"/>
      <c r="T726" s="3"/>
      <c r="U726" s="4"/>
      <c r="W726" s="6"/>
    </row>
    <row r="727" spans="1:23" ht="15" thickBot="1" x14ac:dyDescent="0.35">
      <c r="A727" s="2">
        <v>37</v>
      </c>
      <c r="B727" s="3" t="s">
        <v>14</v>
      </c>
      <c r="C727" s="2">
        <v>46.5</v>
      </c>
      <c r="D727" s="2">
        <v>3</v>
      </c>
      <c r="E727" s="3" t="s">
        <v>16</v>
      </c>
      <c r="F727" s="3" t="s">
        <v>10</v>
      </c>
      <c r="G727" s="4">
        <v>6435.62</v>
      </c>
      <c r="H727">
        <f t="shared" si="23"/>
        <v>4</v>
      </c>
      <c r="I727" s="6">
        <f t="shared" si="24"/>
        <v>1608.905</v>
      </c>
      <c r="L727" s="19"/>
      <c r="O727" s="2"/>
      <c r="P727" s="3"/>
      <c r="Q727" s="2"/>
      <c r="R727" s="2"/>
      <c r="S727" s="3"/>
      <c r="T727" s="3"/>
      <c r="U727" s="4"/>
      <c r="W727" s="6"/>
    </row>
    <row r="728" spans="1:23" ht="15" thickBot="1" x14ac:dyDescent="0.35">
      <c r="A728" s="2">
        <v>37</v>
      </c>
      <c r="B728" s="3" t="s">
        <v>15</v>
      </c>
      <c r="C728" s="2">
        <v>38.4</v>
      </c>
      <c r="D728" s="2">
        <v>0</v>
      </c>
      <c r="E728" s="3" t="s">
        <v>17</v>
      </c>
      <c r="F728" s="3" t="s">
        <v>10</v>
      </c>
      <c r="G728" s="4">
        <v>40419.019999999997</v>
      </c>
      <c r="H728">
        <f t="shared" si="23"/>
        <v>1</v>
      </c>
      <c r="I728" s="6">
        <f t="shared" si="24"/>
        <v>40419.019999999997</v>
      </c>
      <c r="L728" s="19"/>
      <c r="O728" s="2"/>
      <c r="P728" s="3"/>
      <c r="Q728" s="2"/>
      <c r="R728" s="2"/>
      <c r="S728" s="3"/>
      <c r="T728" s="3"/>
      <c r="U728" s="4"/>
      <c r="W728" s="6"/>
    </row>
    <row r="729" spans="1:23" ht="15" thickBot="1" x14ac:dyDescent="0.35">
      <c r="A729" s="2">
        <v>37</v>
      </c>
      <c r="B729" s="3" t="s">
        <v>15</v>
      </c>
      <c r="C729" s="2">
        <v>26.4</v>
      </c>
      <c r="D729" s="2">
        <v>0</v>
      </c>
      <c r="E729" s="3" t="s">
        <v>17</v>
      </c>
      <c r="F729" s="3" t="s">
        <v>10</v>
      </c>
      <c r="G729" s="4">
        <v>19539.240000000002</v>
      </c>
      <c r="H729">
        <f t="shared" si="23"/>
        <v>1</v>
      </c>
      <c r="I729" s="6">
        <f t="shared" si="24"/>
        <v>19539.240000000002</v>
      </c>
      <c r="L729" s="19"/>
      <c r="O729" s="2"/>
      <c r="P729" s="3"/>
      <c r="Q729" s="2"/>
      <c r="R729" s="2"/>
      <c r="S729" s="3"/>
      <c r="T729" s="3"/>
      <c r="U729" s="4"/>
      <c r="W729" s="6"/>
    </row>
    <row r="730" spans="1:23" ht="15" thickBot="1" x14ac:dyDescent="0.35">
      <c r="A730" s="2">
        <v>37</v>
      </c>
      <c r="B730" s="3" t="s">
        <v>15</v>
      </c>
      <c r="C730" s="2">
        <v>30.8</v>
      </c>
      <c r="D730" s="2">
        <v>0</v>
      </c>
      <c r="E730" s="3" t="s">
        <v>17</v>
      </c>
      <c r="F730" s="3" t="s">
        <v>9</v>
      </c>
      <c r="G730" s="4">
        <v>37270.15</v>
      </c>
      <c r="H730">
        <f t="shared" si="23"/>
        <v>1</v>
      </c>
      <c r="I730" s="6">
        <f t="shared" si="24"/>
        <v>37270.15</v>
      </c>
      <c r="L730" s="19"/>
      <c r="O730" s="2"/>
      <c r="P730" s="3"/>
      <c r="Q730" s="2"/>
      <c r="R730" s="2"/>
      <c r="S730" s="3"/>
      <c r="T730" s="3"/>
      <c r="U730" s="4"/>
      <c r="W730" s="6"/>
    </row>
    <row r="731" spans="1:23" ht="15" thickBot="1" x14ac:dyDescent="0.35">
      <c r="A731" s="2">
        <v>37</v>
      </c>
      <c r="B731" s="3" t="s">
        <v>15</v>
      </c>
      <c r="C731" s="2">
        <v>47.6</v>
      </c>
      <c r="D731" s="2">
        <v>2</v>
      </c>
      <c r="E731" s="3" t="s">
        <v>17</v>
      </c>
      <c r="F731" s="3" t="s">
        <v>8</v>
      </c>
      <c r="G731" s="4">
        <v>46113.51</v>
      </c>
      <c r="H731">
        <f t="shared" si="23"/>
        <v>3</v>
      </c>
      <c r="I731" s="6">
        <f t="shared" si="24"/>
        <v>15371.17</v>
      </c>
      <c r="L731" s="19"/>
      <c r="O731" s="2"/>
      <c r="P731" s="3"/>
      <c r="Q731" s="2"/>
      <c r="R731" s="2"/>
      <c r="S731" s="3"/>
      <c r="T731" s="3"/>
      <c r="U731" s="4"/>
      <c r="W731" s="6"/>
    </row>
    <row r="732" spans="1:23" ht="15" thickBot="1" x14ac:dyDescent="0.35">
      <c r="A732" s="2">
        <v>37</v>
      </c>
      <c r="B732" s="3" t="s">
        <v>15</v>
      </c>
      <c r="C732" s="2">
        <v>29.5</v>
      </c>
      <c r="D732" s="2">
        <v>2</v>
      </c>
      <c r="E732" s="3" t="s">
        <v>16</v>
      </c>
      <c r="F732" s="3" t="s">
        <v>8</v>
      </c>
      <c r="G732" s="4">
        <v>6311.95</v>
      </c>
      <c r="H732">
        <f t="shared" si="23"/>
        <v>3</v>
      </c>
      <c r="I732" s="6">
        <f t="shared" si="24"/>
        <v>2103.9833333333331</v>
      </c>
      <c r="L732" s="19"/>
      <c r="O732" s="2"/>
      <c r="P732" s="3"/>
      <c r="Q732" s="2"/>
      <c r="R732" s="2"/>
      <c r="S732" s="3"/>
      <c r="T732" s="3"/>
      <c r="U732" s="4"/>
      <c r="W732" s="6"/>
    </row>
    <row r="733" spans="1:23" ht="15" thickBot="1" x14ac:dyDescent="0.35">
      <c r="A733" s="2">
        <v>37</v>
      </c>
      <c r="B733" s="3" t="s">
        <v>14</v>
      </c>
      <c r="C733" s="2">
        <v>34.200000000000003</v>
      </c>
      <c r="D733" s="2">
        <v>1</v>
      </c>
      <c r="E733" s="3" t="s">
        <v>17</v>
      </c>
      <c r="F733" s="3" t="s">
        <v>9</v>
      </c>
      <c r="G733" s="4">
        <v>39047.29</v>
      </c>
      <c r="H733">
        <f t="shared" si="23"/>
        <v>2</v>
      </c>
      <c r="I733" s="6">
        <f t="shared" si="24"/>
        <v>19523.645</v>
      </c>
      <c r="L733" s="19"/>
      <c r="O733" s="2"/>
      <c r="P733" s="3"/>
      <c r="Q733" s="2"/>
      <c r="R733" s="2"/>
      <c r="S733" s="3"/>
      <c r="T733" s="3"/>
      <c r="U733" s="4"/>
      <c r="W733" s="6"/>
    </row>
    <row r="734" spans="1:23" ht="15" thickBot="1" x14ac:dyDescent="0.35">
      <c r="A734" s="2">
        <v>37</v>
      </c>
      <c r="B734" s="3" t="s">
        <v>15</v>
      </c>
      <c r="C734" s="2">
        <v>17.3</v>
      </c>
      <c r="D734" s="2">
        <v>2</v>
      </c>
      <c r="E734" s="3" t="s">
        <v>16</v>
      </c>
      <c r="F734" s="3" t="s">
        <v>9</v>
      </c>
      <c r="G734" s="4">
        <v>6877.98</v>
      </c>
      <c r="H734">
        <f t="shared" si="23"/>
        <v>3</v>
      </c>
      <c r="I734" s="6">
        <f t="shared" si="24"/>
        <v>2292.66</v>
      </c>
      <c r="L734" s="19"/>
      <c r="O734" s="2"/>
      <c r="P734" s="3"/>
      <c r="Q734" s="2"/>
      <c r="R734" s="2"/>
      <c r="S734" s="3"/>
      <c r="T734" s="3"/>
      <c r="U734" s="4"/>
      <c r="W734" s="6"/>
    </row>
    <row r="735" spans="1:23" ht="15" thickBot="1" x14ac:dyDescent="0.35">
      <c r="A735" s="2">
        <v>37</v>
      </c>
      <c r="B735" s="3" t="s">
        <v>14</v>
      </c>
      <c r="C735" s="2">
        <v>37.1</v>
      </c>
      <c r="D735" s="2">
        <v>1</v>
      </c>
      <c r="E735" s="3" t="s">
        <v>17</v>
      </c>
      <c r="F735" s="3" t="s">
        <v>10</v>
      </c>
      <c r="G735" s="4">
        <v>39871.699999999997</v>
      </c>
      <c r="H735">
        <f t="shared" si="23"/>
        <v>2</v>
      </c>
      <c r="I735" s="6">
        <f t="shared" si="24"/>
        <v>19935.849999999999</v>
      </c>
      <c r="L735" s="19"/>
      <c r="O735" s="2"/>
      <c r="P735" s="3"/>
      <c r="Q735" s="2"/>
      <c r="R735" s="2"/>
      <c r="S735" s="3"/>
      <c r="T735" s="3"/>
      <c r="U735" s="4"/>
      <c r="W735" s="6"/>
    </row>
    <row r="736" spans="1:23" ht="15" thickBot="1" x14ac:dyDescent="0.35">
      <c r="A736" s="2">
        <v>37</v>
      </c>
      <c r="B736" s="3" t="s">
        <v>14</v>
      </c>
      <c r="C736" s="2">
        <v>29.8</v>
      </c>
      <c r="D736" s="2">
        <v>0</v>
      </c>
      <c r="E736" s="3" t="s">
        <v>16</v>
      </c>
      <c r="F736" s="3" t="s">
        <v>8</v>
      </c>
      <c r="G736" s="4">
        <v>20420.599999999999</v>
      </c>
      <c r="H736">
        <f t="shared" si="23"/>
        <v>1</v>
      </c>
      <c r="I736" s="6">
        <f t="shared" si="24"/>
        <v>20420.599999999999</v>
      </c>
      <c r="L736" s="19"/>
      <c r="O736" s="2"/>
      <c r="P736" s="3"/>
      <c r="Q736" s="2"/>
      <c r="R736" s="2"/>
      <c r="S736" s="3"/>
      <c r="T736" s="3"/>
      <c r="U736" s="4"/>
      <c r="W736" s="6"/>
    </row>
    <row r="737" spans="1:23" ht="15" thickBot="1" x14ac:dyDescent="0.35">
      <c r="A737" s="2">
        <v>37</v>
      </c>
      <c r="B737" s="3" t="s">
        <v>15</v>
      </c>
      <c r="C737" s="2">
        <v>34.1</v>
      </c>
      <c r="D737" s="2">
        <v>1</v>
      </c>
      <c r="E737" s="3" t="s">
        <v>16</v>
      </c>
      <c r="F737" s="3" t="s">
        <v>7</v>
      </c>
      <c r="G737" s="4">
        <v>6112.35</v>
      </c>
      <c r="H737">
        <f t="shared" si="23"/>
        <v>2</v>
      </c>
      <c r="I737" s="6">
        <f t="shared" si="24"/>
        <v>3056.1750000000002</v>
      </c>
      <c r="L737" s="19"/>
      <c r="O737" s="2"/>
      <c r="P737" s="3"/>
      <c r="Q737" s="2"/>
      <c r="R737" s="2"/>
      <c r="S737" s="3"/>
      <c r="T737" s="3"/>
      <c r="U737" s="4"/>
      <c r="W737" s="6"/>
    </row>
    <row r="738" spans="1:23" ht="15" thickBot="1" x14ac:dyDescent="0.35">
      <c r="A738" s="2">
        <v>37</v>
      </c>
      <c r="B738" s="3" t="s">
        <v>14</v>
      </c>
      <c r="C738" s="2">
        <v>24.3</v>
      </c>
      <c r="D738" s="2">
        <v>2</v>
      </c>
      <c r="E738" s="3" t="s">
        <v>16</v>
      </c>
      <c r="F738" s="3" t="s">
        <v>7</v>
      </c>
      <c r="G738" s="4">
        <v>6198.75</v>
      </c>
      <c r="H738">
        <f t="shared" si="23"/>
        <v>3</v>
      </c>
      <c r="I738" s="6">
        <f t="shared" si="24"/>
        <v>2066.25</v>
      </c>
      <c r="L738" s="19"/>
      <c r="O738" s="2"/>
      <c r="P738" s="3"/>
      <c r="Q738" s="2"/>
      <c r="R738" s="2"/>
      <c r="S738" s="3"/>
      <c r="T738" s="3"/>
      <c r="U738" s="4"/>
      <c r="W738" s="6"/>
    </row>
    <row r="739" spans="1:23" ht="15" thickBot="1" x14ac:dyDescent="0.35">
      <c r="A739" s="2">
        <v>37</v>
      </c>
      <c r="B739" s="3" t="s">
        <v>15</v>
      </c>
      <c r="C739" s="2">
        <v>25.6</v>
      </c>
      <c r="D739" s="2">
        <v>1</v>
      </c>
      <c r="E739" s="3" t="s">
        <v>17</v>
      </c>
      <c r="F739" s="3" t="s">
        <v>9</v>
      </c>
      <c r="G739" s="4">
        <v>20296.86</v>
      </c>
      <c r="H739">
        <f t="shared" si="23"/>
        <v>2</v>
      </c>
      <c r="I739" s="6">
        <f t="shared" si="24"/>
        <v>10148.43</v>
      </c>
      <c r="L739" s="19"/>
      <c r="O739" s="2"/>
      <c r="P739" s="3"/>
      <c r="Q739" s="2"/>
      <c r="R739" s="2"/>
      <c r="S739" s="3"/>
      <c r="T739" s="3"/>
      <c r="U739" s="4"/>
      <c r="W739" s="6"/>
    </row>
    <row r="740" spans="1:23" ht="15" thickBot="1" x14ac:dyDescent="0.35">
      <c r="A740" s="2">
        <v>37</v>
      </c>
      <c r="B740" s="3" t="s">
        <v>14</v>
      </c>
      <c r="C740" s="2">
        <v>22.7</v>
      </c>
      <c r="D740" s="2">
        <v>3</v>
      </c>
      <c r="E740" s="3" t="s">
        <v>16</v>
      </c>
      <c r="F740" s="3" t="s">
        <v>9</v>
      </c>
      <c r="G740" s="4">
        <v>6985.51</v>
      </c>
      <c r="H740">
        <f t="shared" si="23"/>
        <v>4</v>
      </c>
      <c r="I740" s="6">
        <f t="shared" si="24"/>
        <v>1746.3775000000001</v>
      </c>
      <c r="L740" s="19"/>
      <c r="O740" s="2"/>
      <c r="P740" s="3"/>
      <c r="Q740" s="2"/>
      <c r="R740" s="2"/>
      <c r="S740" s="3"/>
      <c r="T740" s="3"/>
      <c r="U740" s="4"/>
      <c r="W740" s="6"/>
    </row>
    <row r="741" spans="1:23" ht="15" thickBot="1" x14ac:dyDescent="0.35">
      <c r="A741" s="2">
        <v>36</v>
      </c>
      <c r="B741" s="3" t="s">
        <v>14</v>
      </c>
      <c r="C741" s="2">
        <v>35.200000000000003</v>
      </c>
      <c r="D741" s="2">
        <v>1</v>
      </c>
      <c r="E741" s="3" t="s">
        <v>17</v>
      </c>
      <c r="F741" s="3" t="s">
        <v>10</v>
      </c>
      <c r="G741" s="4">
        <v>38709.18</v>
      </c>
      <c r="H741">
        <f t="shared" si="23"/>
        <v>2</v>
      </c>
      <c r="I741" s="6">
        <f t="shared" si="24"/>
        <v>19354.59</v>
      </c>
      <c r="L741" s="19"/>
      <c r="O741" s="2"/>
      <c r="P741" s="3"/>
      <c r="Q741" s="2"/>
      <c r="R741" s="2"/>
      <c r="S741" s="3"/>
      <c r="T741" s="3"/>
      <c r="U741" s="4"/>
      <c r="W741" s="6"/>
    </row>
    <row r="742" spans="1:23" ht="15" thickBot="1" x14ac:dyDescent="0.35">
      <c r="A742" s="2">
        <v>36</v>
      </c>
      <c r="B742" s="3" t="s">
        <v>14</v>
      </c>
      <c r="C742" s="2">
        <v>34.4</v>
      </c>
      <c r="D742" s="2">
        <v>0</v>
      </c>
      <c r="E742" s="3" t="s">
        <v>17</v>
      </c>
      <c r="F742" s="3" t="s">
        <v>10</v>
      </c>
      <c r="G742" s="4">
        <v>37742.58</v>
      </c>
      <c r="H742">
        <f t="shared" si="23"/>
        <v>1</v>
      </c>
      <c r="I742" s="6">
        <f t="shared" si="24"/>
        <v>37742.58</v>
      </c>
      <c r="L742" s="19"/>
      <c r="O742" s="2"/>
      <c r="P742" s="3"/>
      <c r="Q742" s="2"/>
      <c r="R742" s="2"/>
      <c r="S742" s="3"/>
      <c r="T742" s="3"/>
      <c r="U742" s="4"/>
      <c r="W742" s="6"/>
    </row>
    <row r="743" spans="1:23" ht="15" thickBot="1" x14ac:dyDescent="0.35">
      <c r="A743" s="2">
        <v>36</v>
      </c>
      <c r="B743" s="3" t="s">
        <v>14</v>
      </c>
      <c r="C743" s="2">
        <v>41.9</v>
      </c>
      <c r="D743" s="2">
        <v>3</v>
      </c>
      <c r="E743" s="3" t="s">
        <v>17</v>
      </c>
      <c r="F743" s="3" t="s">
        <v>9</v>
      </c>
      <c r="G743" s="4">
        <v>43753.34</v>
      </c>
      <c r="H743">
        <f t="shared" si="23"/>
        <v>4</v>
      </c>
      <c r="I743" s="6">
        <f t="shared" si="24"/>
        <v>10938.334999999999</v>
      </c>
      <c r="L743" s="19"/>
      <c r="O743" s="2"/>
      <c r="P743" s="3"/>
      <c r="Q743" s="2"/>
      <c r="R743" s="2"/>
      <c r="S743" s="3"/>
      <c r="T743" s="3"/>
      <c r="U743" s="4"/>
      <c r="W743" s="6"/>
    </row>
    <row r="744" spans="1:23" ht="15" thickBot="1" x14ac:dyDescent="0.35">
      <c r="A744" s="2">
        <v>36</v>
      </c>
      <c r="B744" s="3" t="s">
        <v>15</v>
      </c>
      <c r="C744" s="2">
        <v>26.2</v>
      </c>
      <c r="D744" s="2">
        <v>0</v>
      </c>
      <c r="E744" s="3" t="s">
        <v>16</v>
      </c>
      <c r="F744" s="3" t="s">
        <v>8</v>
      </c>
      <c r="G744" s="4">
        <v>4883.87</v>
      </c>
      <c r="H744">
        <f t="shared" si="23"/>
        <v>1</v>
      </c>
      <c r="I744" s="6">
        <f t="shared" si="24"/>
        <v>4883.87</v>
      </c>
      <c r="L744" s="19"/>
      <c r="O744" s="2"/>
      <c r="P744" s="3"/>
      <c r="Q744" s="2"/>
      <c r="R744" s="2"/>
      <c r="S744" s="3"/>
      <c r="T744" s="3"/>
      <c r="U744" s="4"/>
      <c r="W744" s="6"/>
    </row>
    <row r="745" spans="1:23" ht="15" thickBot="1" x14ac:dyDescent="0.35">
      <c r="A745" s="2">
        <v>36</v>
      </c>
      <c r="B745" s="3" t="s">
        <v>14</v>
      </c>
      <c r="C745" s="2">
        <v>27.6</v>
      </c>
      <c r="D745" s="2">
        <v>3</v>
      </c>
      <c r="E745" s="3" t="s">
        <v>16</v>
      </c>
      <c r="F745" s="3" t="s">
        <v>9</v>
      </c>
      <c r="G745" s="4">
        <v>6746.74</v>
      </c>
      <c r="H745">
        <f t="shared" si="23"/>
        <v>4</v>
      </c>
      <c r="I745" s="6">
        <f t="shared" si="24"/>
        <v>1686.6849999999999</v>
      </c>
      <c r="L745" s="19"/>
      <c r="O745" s="2"/>
      <c r="P745" s="3"/>
      <c r="Q745" s="2"/>
      <c r="R745" s="2"/>
      <c r="S745" s="3"/>
      <c r="T745" s="3"/>
      <c r="U745" s="4"/>
      <c r="W745" s="6"/>
    </row>
    <row r="746" spans="1:23" ht="15" thickBot="1" x14ac:dyDescent="0.35">
      <c r="A746" s="2">
        <v>36</v>
      </c>
      <c r="B746" s="3" t="s">
        <v>15</v>
      </c>
      <c r="C746" s="2">
        <v>29.9</v>
      </c>
      <c r="D746" s="2">
        <v>1</v>
      </c>
      <c r="E746" s="3" t="s">
        <v>16</v>
      </c>
      <c r="F746" s="3" t="s">
        <v>10</v>
      </c>
      <c r="G746" s="4">
        <v>5478.04</v>
      </c>
      <c r="H746">
        <f t="shared" si="23"/>
        <v>2</v>
      </c>
      <c r="I746" s="6">
        <f t="shared" si="24"/>
        <v>2739.02</v>
      </c>
      <c r="L746" s="19"/>
      <c r="O746" s="2"/>
      <c r="P746" s="3"/>
      <c r="Q746" s="2"/>
      <c r="R746" s="2"/>
      <c r="S746" s="3"/>
      <c r="T746" s="3"/>
      <c r="U746" s="4"/>
      <c r="W746" s="6"/>
    </row>
    <row r="747" spans="1:23" ht="15" thickBot="1" x14ac:dyDescent="0.35">
      <c r="A747" s="2">
        <v>36</v>
      </c>
      <c r="B747" s="3" t="s">
        <v>15</v>
      </c>
      <c r="C747" s="2">
        <v>22.6</v>
      </c>
      <c r="D747" s="2">
        <v>2</v>
      </c>
      <c r="E747" s="3" t="s">
        <v>17</v>
      </c>
      <c r="F747" s="3" t="s">
        <v>8</v>
      </c>
      <c r="G747" s="4">
        <v>18608.259999999998</v>
      </c>
      <c r="H747">
        <f t="shared" si="23"/>
        <v>3</v>
      </c>
      <c r="I747" s="6">
        <f t="shared" si="24"/>
        <v>6202.7533333333331</v>
      </c>
      <c r="L747" s="19"/>
      <c r="O747" s="2"/>
      <c r="P747" s="3"/>
      <c r="Q747" s="2"/>
      <c r="R747" s="2"/>
      <c r="S747" s="3"/>
      <c r="T747" s="3"/>
      <c r="U747" s="4"/>
      <c r="W747" s="6"/>
    </row>
    <row r="748" spans="1:23" ht="15" thickBot="1" x14ac:dyDescent="0.35">
      <c r="A748" s="2">
        <v>36</v>
      </c>
      <c r="B748" s="3" t="s">
        <v>14</v>
      </c>
      <c r="C748" s="2">
        <v>28.9</v>
      </c>
      <c r="D748" s="2">
        <v>3</v>
      </c>
      <c r="E748" s="3" t="s">
        <v>16</v>
      </c>
      <c r="F748" s="3" t="s">
        <v>9</v>
      </c>
      <c r="G748" s="4">
        <v>6748.59</v>
      </c>
      <c r="H748">
        <f t="shared" si="23"/>
        <v>4</v>
      </c>
      <c r="I748" s="6">
        <f t="shared" si="24"/>
        <v>1687.1475</v>
      </c>
      <c r="L748" s="19"/>
      <c r="O748" s="2"/>
      <c r="P748" s="3"/>
      <c r="Q748" s="2"/>
      <c r="R748" s="2"/>
      <c r="S748" s="3"/>
      <c r="T748" s="3"/>
      <c r="U748" s="4"/>
      <c r="W748" s="6"/>
    </row>
    <row r="749" spans="1:23" ht="15" thickBot="1" x14ac:dyDescent="0.35">
      <c r="A749" s="2">
        <v>36</v>
      </c>
      <c r="B749" s="3" t="s">
        <v>14</v>
      </c>
      <c r="C749" s="2">
        <v>29.7</v>
      </c>
      <c r="D749" s="2">
        <v>0</v>
      </c>
      <c r="E749" s="3" t="s">
        <v>16</v>
      </c>
      <c r="F749" s="3" t="s">
        <v>10</v>
      </c>
      <c r="G749" s="4">
        <v>4399.7299999999996</v>
      </c>
      <c r="H749">
        <f t="shared" si="23"/>
        <v>1</v>
      </c>
      <c r="I749" s="6">
        <f t="shared" si="24"/>
        <v>4399.7299999999996</v>
      </c>
      <c r="L749" s="19"/>
      <c r="O749" s="2"/>
      <c r="P749" s="3"/>
      <c r="Q749" s="2"/>
      <c r="R749" s="2"/>
      <c r="S749" s="3"/>
      <c r="T749" s="3"/>
      <c r="U749" s="4"/>
      <c r="W749" s="6"/>
    </row>
    <row r="750" spans="1:23" ht="15" thickBot="1" x14ac:dyDescent="0.35">
      <c r="A750" s="2">
        <v>36</v>
      </c>
      <c r="B750" s="3" t="s">
        <v>15</v>
      </c>
      <c r="C750" s="2">
        <v>27.7</v>
      </c>
      <c r="D750" s="2">
        <v>0</v>
      </c>
      <c r="E750" s="3" t="s">
        <v>16</v>
      </c>
      <c r="F750" s="3" t="s">
        <v>9</v>
      </c>
      <c r="G750" s="4">
        <v>5469.01</v>
      </c>
      <c r="H750">
        <f t="shared" si="23"/>
        <v>1</v>
      </c>
      <c r="I750" s="6">
        <f t="shared" si="24"/>
        <v>5469.01</v>
      </c>
      <c r="L750" s="19"/>
      <c r="O750" s="2"/>
      <c r="P750" s="3"/>
      <c r="Q750" s="2"/>
      <c r="R750" s="2"/>
      <c r="S750" s="3"/>
      <c r="T750" s="3"/>
      <c r="U750" s="4"/>
      <c r="W750" s="6"/>
    </row>
    <row r="751" spans="1:23" ht="15" thickBot="1" x14ac:dyDescent="0.35">
      <c r="A751" s="2">
        <v>36</v>
      </c>
      <c r="B751" s="3" t="s">
        <v>14</v>
      </c>
      <c r="C751" s="2">
        <v>34.4</v>
      </c>
      <c r="D751" s="2">
        <v>2</v>
      </c>
      <c r="E751" s="3" t="s">
        <v>16</v>
      </c>
      <c r="F751" s="3" t="s">
        <v>10</v>
      </c>
      <c r="G751" s="4">
        <v>5584.31</v>
      </c>
      <c r="H751">
        <f t="shared" si="23"/>
        <v>3</v>
      </c>
      <c r="I751" s="6">
        <f t="shared" si="24"/>
        <v>1861.4366666666667</v>
      </c>
      <c r="L751" s="19"/>
      <c r="O751" s="2"/>
      <c r="P751" s="3"/>
      <c r="Q751" s="2"/>
      <c r="R751" s="2"/>
      <c r="S751" s="3"/>
      <c r="T751" s="3"/>
      <c r="U751" s="4"/>
      <c r="W751" s="6"/>
    </row>
    <row r="752" spans="1:23" ht="15" thickBot="1" x14ac:dyDescent="0.35">
      <c r="A752" s="2">
        <v>36</v>
      </c>
      <c r="B752" s="3" t="s">
        <v>14</v>
      </c>
      <c r="C752" s="2">
        <v>28</v>
      </c>
      <c r="D752" s="2">
        <v>1</v>
      </c>
      <c r="E752" s="3" t="s">
        <v>17</v>
      </c>
      <c r="F752" s="3" t="s">
        <v>9</v>
      </c>
      <c r="G752" s="4">
        <v>20773.63</v>
      </c>
      <c r="H752">
        <f t="shared" si="23"/>
        <v>2</v>
      </c>
      <c r="I752" s="6">
        <f t="shared" si="24"/>
        <v>10386.815000000001</v>
      </c>
      <c r="L752" s="19"/>
      <c r="O752" s="2"/>
      <c r="P752" s="3"/>
      <c r="Q752" s="2"/>
      <c r="R752" s="2"/>
      <c r="S752" s="3"/>
      <c r="T752" s="3"/>
      <c r="U752" s="4"/>
      <c r="W752" s="6"/>
    </row>
    <row r="753" spans="1:23" ht="15" thickBot="1" x14ac:dyDescent="0.35">
      <c r="A753" s="2">
        <v>36</v>
      </c>
      <c r="B753" s="3" t="s">
        <v>15</v>
      </c>
      <c r="C753" s="2">
        <v>25.8</v>
      </c>
      <c r="D753" s="2">
        <v>0</v>
      </c>
      <c r="E753" s="3" t="s">
        <v>16</v>
      </c>
      <c r="F753" s="3" t="s">
        <v>7</v>
      </c>
      <c r="G753" s="4">
        <v>5266.37</v>
      </c>
      <c r="H753">
        <f t="shared" si="23"/>
        <v>1</v>
      </c>
      <c r="I753" s="6">
        <f t="shared" si="24"/>
        <v>5266.37</v>
      </c>
      <c r="L753" s="19"/>
      <c r="O753" s="2"/>
      <c r="P753" s="3"/>
      <c r="Q753" s="2"/>
      <c r="R753" s="2"/>
      <c r="S753" s="3"/>
      <c r="T753" s="3"/>
      <c r="U753" s="4"/>
      <c r="W753" s="6"/>
    </row>
    <row r="754" spans="1:23" ht="15" thickBot="1" x14ac:dyDescent="0.35">
      <c r="A754" s="2">
        <v>36</v>
      </c>
      <c r="B754" s="3" t="s">
        <v>14</v>
      </c>
      <c r="C754" s="2">
        <v>33.799999999999997</v>
      </c>
      <c r="D754" s="2">
        <v>1</v>
      </c>
      <c r="E754" s="3" t="s">
        <v>16</v>
      </c>
      <c r="F754" s="3" t="s">
        <v>7</v>
      </c>
      <c r="G754" s="4">
        <v>5377.46</v>
      </c>
      <c r="H754">
        <f t="shared" si="23"/>
        <v>2</v>
      </c>
      <c r="I754" s="6">
        <f t="shared" si="24"/>
        <v>2688.73</v>
      </c>
      <c r="L754" s="19"/>
      <c r="O754" s="2"/>
      <c r="P754" s="3"/>
      <c r="Q754" s="2"/>
      <c r="R754" s="2"/>
      <c r="S754" s="3"/>
      <c r="T754" s="3"/>
      <c r="U754" s="4"/>
      <c r="W754" s="6"/>
    </row>
    <row r="755" spans="1:23" ht="15" thickBot="1" x14ac:dyDescent="0.35">
      <c r="A755" s="2">
        <v>36</v>
      </c>
      <c r="B755" s="3" t="s">
        <v>14</v>
      </c>
      <c r="C755" s="2">
        <v>31.5</v>
      </c>
      <c r="D755" s="2">
        <v>0</v>
      </c>
      <c r="E755" s="3" t="s">
        <v>16</v>
      </c>
      <c r="F755" s="3" t="s">
        <v>8</v>
      </c>
      <c r="G755" s="4">
        <v>4402.2299999999996</v>
      </c>
      <c r="H755">
        <f t="shared" si="23"/>
        <v>1</v>
      </c>
      <c r="I755" s="6">
        <f t="shared" si="24"/>
        <v>4402.2299999999996</v>
      </c>
      <c r="L755" s="19"/>
      <c r="O755" s="2"/>
      <c r="P755" s="3"/>
      <c r="Q755" s="2"/>
      <c r="R755" s="2"/>
      <c r="S755" s="3"/>
      <c r="T755" s="3"/>
      <c r="U755" s="4"/>
      <c r="W755" s="6"/>
    </row>
    <row r="756" spans="1:23" ht="15" thickBot="1" x14ac:dyDescent="0.35">
      <c r="A756" s="2">
        <v>36</v>
      </c>
      <c r="B756" s="3" t="s">
        <v>15</v>
      </c>
      <c r="C756" s="2">
        <v>19.899999999999999</v>
      </c>
      <c r="D756" s="2">
        <v>0</v>
      </c>
      <c r="E756" s="3" t="s">
        <v>16</v>
      </c>
      <c r="F756" s="3" t="s">
        <v>9</v>
      </c>
      <c r="G756" s="4">
        <v>5458.05</v>
      </c>
      <c r="H756">
        <f t="shared" si="23"/>
        <v>1</v>
      </c>
      <c r="I756" s="6">
        <f t="shared" si="24"/>
        <v>5458.05</v>
      </c>
      <c r="L756" s="19"/>
      <c r="O756" s="2"/>
      <c r="P756" s="3"/>
      <c r="Q756" s="2"/>
      <c r="R756" s="2"/>
      <c r="S756" s="3"/>
      <c r="T756" s="3"/>
      <c r="U756" s="4"/>
      <c r="W756" s="6"/>
    </row>
    <row r="757" spans="1:23" ht="15" thickBot="1" x14ac:dyDescent="0.35">
      <c r="A757" s="2">
        <v>36</v>
      </c>
      <c r="B757" s="3" t="s">
        <v>15</v>
      </c>
      <c r="C757" s="2">
        <v>30</v>
      </c>
      <c r="D757" s="2">
        <v>0</v>
      </c>
      <c r="E757" s="3" t="s">
        <v>16</v>
      </c>
      <c r="F757" s="3" t="s">
        <v>7</v>
      </c>
      <c r="G757" s="4">
        <v>5272.18</v>
      </c>
      <c r="H757">
        <f t="shared" si="23"/>
        <v>1</v>
      </c>
      <c r="I757" s="6">
        <f t="shared" si="24"/>
        <v>5272.18</v>
      </c>
      <c r="L757" s="19"/>
      <c r="O757" s="2"/>
      <c r="P757" s="3"/>
      <c r="Q757" s="2"/>
      <c r="R757" s="2"/>
      <c r="S757" s="3"/>
      <c r="T757" s="3"/>
      <c r="U757" s="4"/>
      <c r="W757" s="6"/>
    </row>
    <row r="758" spans="1:23" ht="15" thickBot="1" x14ac:dyDescent="0.35">
      <c r="A758" s="2">
        <v>36</v>
      </c>
      <c r="B758" s="3" t="s">
        <v>15</v>
      </c>
      <c r="C758" s="2">
        <v>29</v>
      </c>
      <c r="D758" s="2">
        <v>4</v>
      </c>
      <c r="E758" s="3" t="s">
        <v>16</v>
      </c>
      <c r="F758" s="3" t="s">
        <v>10</v>
      </c>
      <c r="G758" s="4">
        <v>7243.81</v>
      </c>
      <c r="H758">
        <f t="shared" si="23"/>
        <v>5</v>
      </c>
      <c r="I758" s="6">
        <f t="shared" si="24"/>
        <v>1448.7620000000002</v>
      </c>
      <c r="L758" s="19"/>
      <c r="O758" s="2"/>
      <c r="P758" s="3"/>
      <c r="Q758" s="2"/>
      <c r="R758" s="2"/>
      <c r="S758" s="3"/>
      <c r="T758" s="3"/>
      <c r="U758" s="4"/>
      <c r="W758" s="6"/>
    </row>
    <row r="759" spans="1:23" ht="15" thickBot="1" x14ac:dyDescent="0.35">
      <c r="A759" s="2">
        <v>36</v>
      </c>
      <c r="B759" s="3" t="s">
        <v>15</v>
      </c>
      <c r="C759" s="2">
        <v>29.9</v>
      </c>
      <c r="D759" s="2">
        <v>0</v>
      </c>
      <c r="E759" s="3" t="s">
        <v>16</v>
      </c>
      <c r="F759" s="3" t="s">
        <v>10</v>
      </c>
      <c r="G759" s="4">
        <v>4889.04</v>
      </c>
      <c r="H759">
        <f t="shared" si="23"/>
        <v>1</v>
      </c>
      <c r="I759" s="6">
        <f t="shared" si="24"/>
        <v>4889.04</v>
      </c>
      <c r="L759" s="19"/>
      <c r="O759" s="2"/>
      <c r="P759" s="3"/>
      <c r="Q759" s="2"/>
      <c r="R759" s="2"/>
      <c r="S759" s="3"/>
      <c r="T759" s="3"/>
      <c r="U759" s="4"/>
      <c r="W759" s="6"/>
    </row>
    <row r="760" spans="1:23" ht="15" thickBot="1" x14ac:dyDescent="0.35">
      <c r="A760" s="2">
        <v>36</v>
      </c>
      <c r="B760" s="3" t="s">
        <v>15</v>
      </c>
      <c r="C760" s="2">
        <v>26.9</v>
      </c>
      <c r="D760" s="2">
        <v>0</v>
      </c>
      <c r="E760" s="3" t="s">
        <v>16</v>
      </c>
      <c r="F760" s="3" t="s">
        <v>7</v>
      </c>
      <c r="G760" s="4">
        <v>5267.82</v>
      </c>
      <c r="H760">
        <f t="shared" si="23"/>
        <v>1</v>
      </c>
      <c r="I760" s="6">
        <f t="shared" si="24"/>
        <v>5267.82</v>
      </c>
      <c r="L760" s="19"/>
      <c r="O760" s="2"/>
      <c r="P760" s="3"/>
      <c r="Q760" s="2"/>
      <c r="R760" s="2"/>
      <c r="S760" s="3"/>
      <c r="T760" s="3"/>
      <c r="U760" s="4"/>
      <c r="W760" s="6"/>
    </row>
    <row r="761" spans="1:23" ht="15" thickBot="1" x14ac:dyDescent="0.35">
      <c r="A761" s="2">
        <v>36</v>
      </c>
      <c r="B761" s="3" t="s">
        <v>14</v>
      </c>
      <c r="C761" s="2">
        <v>28.6</v>
      </c>
      <c r="D761" s="2">
        <v>3</v>
      </c>
      <c r="E761" s="3" t="s">
        <v>16</v>
      </c>
      <c r="F761" s="3" t="s">
        <v>7</v>
      </c>
      <c r="G761" s="4">
        <v>6548.2</v>
      </c>
      <c r="H761">
        <f t="shared" si="23"/>
        <v>4</v>
      </c>
      <c r="I761" s="6">
        <f t="shared" si="24"/>
        <v>1637.05</v>
      </c>
      <c r="L761" s="19"/>
      <c r="O761" s="2"/>
      <c r="P761" s="3"/>
      <c r="Q761" s="2"/>
      <c r="R761" s="2"/>
      <c r="S761" s="3"/>
      <c r="T761" s="3"/>
      <c r="U761" s="4"/>
      <c r="W761" s="6"/>
    </row>
    <row r="762" spans="1:23" ht="15" thickBot="1" x14ac:dyDescent="0.35">
      <c r="A762" s="2">
        <v>36</v>
      </c>
      <c r="B762" s="3" t="s">
        <v>15</v>
      </c>
      <c r="C762" s="2">
        <v>22.1</v>
      </c>
      <c r="D762" s="2">
        <v>3</v>
      </c>
      <c r="E762" s="3" t="s">
        <v>16</v>
      </c>
      <c r="F762" s="3" t="s">
        <v>9</v>
      </c>
      <c r="G762" s="4">
        <v>7228.22</v>
      </c>
      <c r="H762">
        <f t="shared" si="23"/>
        <v>4</v>
      </c>
      <c r="I762" s="6">
        <f t="shared" si="24"/>
        <v>1807.0550000000001</v>
      </c>
      <c r="L762" s="19"/>
      <c r="O762" s="2"/>
      <c r="P762" s="3"/>
      <c r="Q762" s="2"/>
      <c r="R762" s="2"/>
      <c r="S762" s="3"/>
      <c r="T762" s="3"/>
      <c r="U762" s="4"/>
      <c r="W762" s="6"/>
    </row>
    <row r="763" spans="1:23" ht="15" thickBot="1" x14ac:dyDescent="0.35">
      <c r="A763" s="2">
        <v>36</v>
      </c>
      <c r="B763" s="3" t="s">
        <v>14</v>
      </c>
      <c r="C763" s="2">
        <v>33.4</v>
      </c>
      <c r="D763" s="2">
        <v>2</v>
      </c>
      <c r="E763" s="3" t="s">
        <v>17</v>
      </c>
      <c r="F763" s="3" t="s">
        <v>8</v>
      </c>
      <c r="G763" s="4">
        <v>38415.47</v>
      </c>
      <c r="H763">
        <f t="shared" si="23"/>
        <v>3</v>
      </c>
      <c r="I763" s="6">
        <f t="shared" si="24"/>
        <v>12805.156666666668</v>
      </c>
      <c r="L763" s="19"/>
      <c r="O763" s="2"/>
      <c r="P763" s="3"/>
      <c r="Q763" s="2"/>
      <c r="R763" s="2"/>
      <c r="S763" s="3"/>
      <c r="T763" s="3"/>
      <c r="U763" s="4"/>
      <c r="W763" s="6"/>
    </row>
    <row r="764" spans="1:23" ht="15" thickBot="1" x14ac:dyDescent="0.35">
      <c r="A764" s="2">
        <v>36</v>
      </c>
      <c r="B764" s="3" t="s">
        <v>14</v>
      </c>
      <c r="C764" s="2">
        <v>30.9</v>
      </c>
      <c r="D764" s="2">
        <v>1</v>
      </c>
      <c r="E764" s="3" t="s">
        <v>16</v>
      </c>
      <c r="F764" s="3" t="s">
        <v>7</v>
      </c>
      <c r="G764" s="4">
        <v>5373.36</v>
      </c>
      <c r="H764">
        <f t="shared" si="23"/>
        <v>2</v>
      </c>
      <c r="I764" s="6">
        <f t="shared" si="24"/>
        <v>2686.68</v>
      </c>
      <c r="L764" s="19"/>
      <c r="O764" s="2"/>
      <c r="P764" s="3"/>
      <c r="Q764" s="2"/>
      <c r="R764" s="2"/>
      <c r="S764" s="3"/>
      <c r="T764" s="3"/>
      <c r="U764" s="4"/>
      <c r="W764" s="6"/>
    </row>
    <row r="765" spans="1:23" ht="15" thickBot="1" x14ac:dyDescent="0.35">
      <c r="A765" s="2">
        <v>36</v>
      </c>
      <c r="B765" s="3" t="s">
        <v>15</v>
      </c>
      <c r="C765" s="2">
        <v>25.9</v>
      </c>
      <c r="D765" s="2">
        <v>1</v>
      </c>
      <c r="E765" s="3" t="s">
        <v>16</v>
      </c>
      <c r="F765" s="3" t="s">
        <v>8</v>
      </c>
      <c r="G765" s="4">
        <v>5472.45</v>
      </c>
      <c r="H765">
        <f t="shared" si="23"/>
        <v>2</v>
      </c>
      <c r="I765" s="6">
        <f t="shared" si="24"/>
        <v>2736.2249999999999</v>
      </c>
      <c r="L765" s="19"/>
      <c r="O765" s="2"/>
      <c r="P765" s="3"/>
      <c r="Q765" s="2"/>
      <c r="R765" s="2"/>
      <c r="S765" s="3"/>
      <c r="T765" s="3"/>
      <c r="U765" s="4"/>
      <c r="W765" s="6"/>
    </row>
    <row r="766" spans="1:23" ht="15" thickBot="1" x14ac:dyDescent="0.35">
      <c r="A766" s="2">
        <v>35</v>
      </c>
      <c r="B766" s="3" t="s">
        <v>14</v>
      </c>
      <c r="C766" s="2">
        <v>36.700000000000003</v>
      </c>
      <c r="D766" s="2">
        <v>1</v>
      </c>
      <c r="E766" s="3" t="s">
        <v>17</v>
      </c>
      <c r="F766" s="3" t="s">
        <v>9</v>
      </c>
      <c r="G766" s="4">
        <v>39774.28</v>
      </c>
      <c r="H766">
        <f t="shared" si="23"/>
        <v>2</v>
      </c>
      <c r="I766" s="6">
        <f t="shared" si="24"/>
        <v>19887.14</v>
      </c>
      <c r="L766" s="19"/>
      <c r="O766" s="2"/>
      <c r="P766" s="3"/>
      <c r="Q766" s="2"/>
      <c r="R766" s="2"/>
      <c r="S766" s="3"/>
      <c r="T766" s="3"/>
      <c r="U766" s="4"/>
      <c r="W766" s="6"/>
    </row>
    <row r="767" spans="1:23" ht="15" thickBot="1" x14ac:dyDescent="0.35">
      <c r="A767" s="2">
        <v>35</v>
      </c>
      <c r="B767" s="3" t="s">
        <v>14</v>
      </c>
      <c r="C767" s="2">
        <v>34.799999999999997</v>
      </c>
      <c r="D767" s="2">
        <v>2</v>
      </c>
      <c r="E767" s="3" t="s">
        <v>16</v>
      </c>
      <c r="F767" s="3" t="s">
        <v>7</v>
      </c>
      <c r="G767" s="4">
        <v>5729.01</v>
      </c>
      <c r="H767">
        <f t="shared" si="23"/>
        <v>3</v>
      </c>
      <c r="I767" s="6">
        <f t="shared" si="24"/>
        <v>1909.67</v>
      </c>
      <c r="L767" s="19"/>
      <c r="O767" s="2"/>
      <c r="P767" s="3"/>
      <c r="Q767" s="2"/>
      <c r="R767" s="2"/>
      <c r="S767" s="3"/>
      <c r="T767" s="3"/>
      <c r="U767" s="4"/>
      <c r="W767" s="6"/>
    </row>
    <row r="768" spans="1:23" ht="15" thickBot="1" x14ac:dyDescent="0.35">
      <c r="A768" s="2">
        <v>35</v>
      </c>
      <c r="B768" s="3" t="s">
        <v>14</v>
      </c>
      <c r="C768" s="2">
        <v>24.1</v>
      </c>
      <c r="D768" s="2">
        <v>1</v>
      </c>
      <c r="E768" s="3" t="s">
        <v>16</v>
      </c>
      <c r="F768" s="3" t="s">
        <v>7</v>
      </c>
      <c r="G768" s="4">
        <v>5125.22</v>
      </c>
      <c r="H768">
        <f t="shared" si="23"/>
        <v>2</v>
      </c>
      <c r="I768" s="6">
        <f t="shared" si="24"/>
        <v>2562.61</v>
      </c>
      <c r="L768" s="19"/>
      <c r="O768" s="2"/>
      <c r="P768" s="3"/>
      <c r="Q768" s="2"/>
      <c r="R768" s="2"/>
      <c r="S768" s="3"/>
      <c r="T768" s="3"/>
      <c r="U768" s="4"/>
      <c r="W768" s="6"/>
    </row>
    <row r="769" spans="1:23" ht="15" thickBot="1" x14ac:dyDescent="0.35">
      <c r="A769" s="2">
        <v>35</v>
      </c>
      <c r="B769" s="3" t="s">
        <v>15</v>
      </c>
      <c r="C769" s="2">
        <v>34.799999999999997</v>
      </c>
      <c r="D769" s="2">
        <v>1</v>
      </c>
      <c r="E769" s="3" t="s">
        <v>16</v>
      </c>
      <c r="F769" s="3" t="s">
        <v>8</v>
      </c>
      <c r="G769" s="4">
        <v>5246.05</v>
      </c>
      <c r="H769">
        <f t="shared" si="23"/>
        <v>2</v>
      </c>
      <c r="I769" s="6">
        <f t="shared" si="24"/>
        <v>2623.0250000000001</v>
      </c>
      <c r="L769" s="19"/>
      <c r="O769" s="2"/>
      <c r="P769" s="3"/>
      <c r="Q769" s="2"/>
      <c r="R769" s="2"/>
      <c r="S769" s="3"/>
      <c r="T769" s="3"/>
      <c r="U769" s="4"/>
      <c r="W769" s="6"/>
    </row>
    <row r="770" spans="1:23" ht="15" thickBot="1" x14ac:dyDescent="0.35">
      <c r="A770" s="2">
        <v>35</v>
      </c>
      <c r="B770" s="3" t="s">
        <v>14</v>
      </c>
      <c r="C770" s="2">
        <v>27.7</v>
      </c>
      <c r="D770" s="2">
        <v>2</v>
      </c>
      <c r="E770" s="3" t="s">
        <v>17</v>
      </c>
      <c r="F770" s="3" t="s">
        <v>9</v>
      </c>
      <c r="G770" s="4">
        <v>20984.09</v>
      </c>
      <c r="H770">
        <f t="shared" si="23"/>
        <v>3</v>
      </c>
      <c r="I770" s="6">
        <f t="shared" si="24"/>
        <v>6994.6966666666667</v>
      </c>
      <c r="L770" s="19"/>
      <c r="O770" s="2"/>
      <c r="P770" s="3"/>
      <c r="Q770" s="2"/>
      <c r="R770" s="2"/>
      <c r="S770" s="3"/>
      <c r="T770" s="3"/>
      <c r="U770" s="4"/>
      <c r="W770" s="6"/>
    </row>
    <row r="771" spans="1:23" ht="15" thickBot="1" x14ac:dyDescent="0.35">
      <c r="A771" s="2">
        <v>35</v>
      </c>
      <c r="B771" s="3" t="s">
        <v>14</v>
      </c>
      <c r="C771" s="2">
        <v>30.5</v>
      </c>
      <c r="D771" s="2">
        <v>1</v>
      </c>
      <c r="E771" s="3" t="s">
        <v>16</v>
      </c>
      <c r="F771" s="3" t="s">
        <v>8</v>
      </c>
      <c r="G771" s="4">
        <v>4751.07</v>
      </c>
      <c r="H771">
        <f t="shared" ref="H771:H834" si="25">D771+1</f>
        <v>2</v>
      </c>
      <c r="I771" s="6">
        <f t="shared" ref="I771:I834" si="26">G771/H771</f>
        <v>2375.5349999999999</v>
      </c>
      <c r="L771" s="19"/>
      <c r="O771" s="2"/>
      <c r="P771" s="3"/>
      <c r="Q771" s="2"/>
      <c r="R771" s="2"/>
      <c r="S771" s="3"/>
      <c r="T771" s="3"/>
      <c r="U771" s="4"/>
      <c r="W771" s="6"/>
    </row>
    <row r="772" spans="1:23" ht="15" thickBot="1" x14ac:dyDescent="0.35">
      <c r="A772" s="2">
        <v>35</v>
      </c>
      <c r="B772" s="3" t="s">
        <v>15</v>
      </c>
      <c r="C772" s="2">
        <v>43.3</v>
      </c>
      <c r="D772" s="2">
        <v>2</v>
      </c>
      <c r="E772" s="3" t="s">
        <v>16</v>
      </c>
      <c r="F772" s="3" t="s">
        <v>10</v>
      </c>
      <c r="G772" s="4">
        <v>5846.92</v>
      </c>
      <c r="H772">
        <f t="shared" si="25"/>
        <v>3</v>
      </c>
      <c r="I772" s="6">
        <f t="shared" si="26"/>
        <v>1948.9733333333334</v>
      </c>
      <c r="L772" s="19"/>
      <c r="O772" s="2"/>
      <c r="P772" s="3"/>
      <c r="Q772" s="2"/>
      <c r="R772" s="2"/>
      <c r="S772" s="3"/>
      <c r="T772" s="3"/>
      <c r="U772" s="4"/>
      <c r="W772" s="6"/>
    </row>
    <row r="773" spans="1:23" ht="15" thickBot="1" x14ac:dyDescent="0.35">
      <c r="A773" s="2">
        <v>35</v>
      </c>
      <c r="B773" s="3" t="s">
        <v>14</v>
      </c>
      <c r="C773" s="2">
        <v>28.9</v>
      </c>
      <c r="D773" s="2">
        <v>3</v>
      </c>
      <c r="E773" s="3" t="s">
        <v>16</v>
      </c>
      <c r="F773" s="3" t="s">
        <v>8</v>
      </c>
      <c r="G773" s="4">
        <v>5926.85</v>
      </c>
      <c r="H773">
        <f t="shared" si="25"/>
        <v>4</v>
      </c>
      <c r="I773" s="6">
        <f t="shared" si="26"/>
        <v>1481.7125000000001</v>
      </c>
      <c r="L773" s="19"/>
      <c r="O773" s="2"/>
      <c r="P773" s="3"/>
      <c r="Q773" s="2"/>
      <c r="R773" s="2"/>
      <c r="S773" s="3"/>
      <c r="T773" s="3"/>
      <c r="U773" s="4"/>
      <c r="W773" s="6"/>
    </row>
    <row r="774" spans="1:23" ht="15" thickBot="1" x14ac:dyDescent="0.35">
      <c r="A774" s="2">
        <v>35</v>
      </c>
      <c r="B774" s="3" t="s">
        <v>14</v>
      </c>
      <c r="C774" s="2">
        <v>38.6</v>
      </c>
      <c r="D774" s="2">
        <v>1</v>
      </c>
      <c r="E774" s="3" t="s">
        <v>16</v>
      </c>
      <c r="F774" s="3" t="s">
        <v>8</v>
      </c>
      <c r="G774" s="4">
        <v>4762.33</v>
      </c>
      <c r="H774">
        <f t="shared" si="25"/>
        <v>2</v>
      </c>
      <c r="I774" s="6">
        <f t="shared" si="26"/>
        <v>2381.165</v>
      </c>
      <c r="L774" s="19"/>
      <c r="O774" s="2"/>
      <c r="P774" s="3"/>
      <c r="Q774" s="2"/>
      <c r="R774" s="2"/>
      <c r="S774" s="3"/>
      <c r="T774" s="3"/>
      <c r="U774" s="4"/>
      <c r="W774" s="6"/>
    </row>
    <row r="775" spans="1:23" ht="15" thickBot="1" x14ac:dyDescent="0.35">
      <c r="A775" s="2">
        <v>35</v>
      </c>
      <c r="B775" s="3" t="s">
        <v>15</v>
      </c>
      <c r="C775" s="2">
        <v>31</v>
      </c>
      <c r="D775" s="2">
        <v>1</v>
      </c>
      <c r="E775" s="3" t="s">
        <v>16</v>
      </c>
      <c r="F775" s="3" t="s">
        <v>8</v>
      </c>
      <c r="G775" s="4">
        <v>5240.7700000000004</v>
      </c>
      <c r="H775">
        <f t="shared" si="25"/>
        <v>2</v>
      </c>
      <c r="I775" s="6">
        <f t="shared" si="26"/>
        <v>2620.3850000000002</v>
      </c>
      <c r="L775" s="19"/>
      <c r="O775" s="2"/>
      <c r="P775" s="3"/>
      <c r="Q775" s="2"/>
      <c r="R775" s="2"/>
      <c r="S775" s="3"/>
      <c r="T775" s="3"/>
      <c r="U775" s="4"/>
      <c r="W775" s="6"/>
    </row>
    <row r="776" spans="1:23" ht="15" thickBot="1" x14ac:dyDescent="0.35">
      <c r="A776" s="2">
        <v>35</v>
      </c>
      <c r="B776" s="3" t="s">
        <v>15</v>
      </c>
      <c r="C776" s="2">
        <v>34.1</v>
      </c>
      <c r="D776" s="2">
        <v>3</v>
      </c>
      <c r="E776" s="3" t="s">
        <v>17</v>
      </c>
      <c r="F776" s="3" t="s">
        <v>7</v>
      </c>
      <c r="G776" s="4">
        <v>39983.43</v>
      </c>
      <c r="H776">
        <f t="shared" si="25"/>
        <v>4</v>
      </c>
      <c r="I776" s="6">
        <f t="shared" si="26"/>
        <v>9995.8575000000001</v>
      </c>
      <c r="L776" s="19"/>
      <c r="O776" s="2"/>
      <c r="P776" s="3"/>
      <c r="Q776" s="2"/>
      <c r="R776" s="2"/>
      <c r="S776" s="3"/>
      <c r="T776" s="3"/>
      <c r="U776" s="4"/>
      <c r="W776" s="6"/>
    </row>
    <row r="777" spans="1:23" ht="15" thickBot="1" x14ac:dyDescent="0.35">
      <c r="A777" s="2">
        <v>35</v>
      </c>
      <c r="B777" s="3" t="s">
        <v>15</v>
      </c>
      <c r="C777" s="2">
        <v>38.1</v>
      </c>
      <c r="D777" s="2">
        <v>2</v>
      </c>
      <c r="E777" s="3" t="s">
        <v>16</v>
      </c>
      <c r="F777" s="3" t="s">
        <v>9</v>
      </c>
      <c r="G777" s="4">
        <v>24915.05</v>
      </c>
      <c r="H777">
        <f t="shared" si="25"/>
        <v>3</v>
      </c>
      <c r="I777" s="6">
        <f t="shared" si="26"/>
        <v>8305.0166666666664</v>
      </c>
      <c r="L777" s="19"/>
      <c r="O777" s="2"/>
      <c r="P777" s="3"/>
      <c r="Q777" s="2"/>
      <c r="R777" s="2"/>
      <c r="S777" s="3"/>
      <c r="T777" s="3"/>
      <c r="U777" s="4"/>
      <c r="W777" s="6"/>
    </row>
    <row r="778" spans="1:23" ht="15" thickBot="1" x14ac:dyDescent="0.35">
      <c r="A778" s="2">
        <v>35</v>
      </c>
      <c r="B778" s="3" t="s">
        <v>14</v>
      </c>
      <c r="C778" s="2">
        <v>24.4</v>
      </c>
      <c r="D778" s="2">
        <v>3</v>
      </c>
      <c r="E778" s="3" t="s">
        <v>17</v>
      </c>
      <c r="F778" s="3" t="s">
        <v>10</v>
      </c>
      <c r="G778" s="4">
        <v>19362</v>
      </c>
      <c r="H778">
        <f t="shared" si="25"/>
        <v>4</v>
      </c>
      <c r="I778" s="6">
        <f t="shared" si="26"/>
        <v>4840.5</v>
      </c>
      <c r="L778" s="19"/>
      <c r="O778" s="2"/>
      <c r="P778" s="3"/>
      <c r="Q778" s="2"/>
      <c r="R778" s="2"/>
      <c r="S778" s="3"/>
      <c r="T778" s="3"/>
      <c r="U778" s="4"/>
      <c r="W778" s="6"/>
    </row>
    <row r="779" spans="1:23" ht="15" thickBot="1" x14ac:dyDescent="0.35">
      <c r="A779" s="2">
        <v>35</v>
      </c>
      <c r="B779" s="3" t="s">
        <v>14</v>
      </c>
      <c r="C779" s="2">
        <v>34.299999999999997</v>
      </c>
      <c r="D779" s="2">
        <v>3</v>
      </c>
      <c r="E779" s="3" t="s">
        <v>16</v>
      </c>
      <c r="F779" s="3" t="s">
        <v>10</v>
      </c>
      <c r="G779" s="4">
        <v>5934.38</v>
      </c>
      <c r="H779">
        <f t="shared" si="25"/>
        <v>4</v>
      </c>
      <c r="I779" s="6">
        <f t="shared" si="26"/>
        <v>1483.595</v>
      </c>
      <c r="L779" s="19"/>
      <c r="O779" s="2"/>
      <c r="P779" s="3"/>
      <c r="Q779" s="2"/>
      <c r="R779" s="2"/>
      <c r="S779" s="3"/>
      <c r="T779" s="3"/>
      <c r="U779" s="4"/>
      <c r="W779" s="6"/>
    </row>
    <row r="780" spans="1:23" ht="15" thickBot="1" x14ac:dyDescent="0.35">
      <c r="A780" s="2">
        <v>35</v>
      </c>
      <c r="B780" s="3" t="s">
        <v>15</v>
      </c>
      <c r="C780" s="2">
        <v>27.7</v>
      </c>
      <c r="D780" s="2">
        <v>3</v>
      </c>
      <c r="E780" s="3" t="s">
        <v>16</v>
      </c>
      <c r="F780" s="3" t="s">
        <v>8</v>
      </c>
      <c r="G780" s="4">
        <v>6414.18</v>
      </c>
      <c r="H780">
        <f t="shared" si="25"/>
        <v>4</v>
      </c>
      <c r="I780" s="6">
        <f t="shared" si="26"/>
        <v>1603.5450000000001</v>
      </c>
      <c r="L780" s="19"/>
      <c r="O780" s="2"/>
      <c r="P780" s="3"/>
      <c r="Q780" s="2"/>
      <c r="R780" s="2"/>
      <c r="S780" s="3"/>
      <c r="T780" s="3"/>
      <c r="U780" s="4"/>
      <c r="W780" s="6"/>
    </row>
    <row r="781" spans="1:23" ht="15" thickBot="1" x14ac:dyDescent="0.35">
      <c r="A781" s="2">
        <v>35</v>
      </c>
      <c r="B781" s="3" t="s">
        <v>15</v>
      </c>
      <c r="C781" s="2">
        <v>23.5</v>
      </c>
      <c r="D781" s="2">
        <v>2</v>
      </c>
      <c r="E781" s="3" t="s">
        <v>16</v>
      </c>
      <c r="F781" s="3" t="s">
        <v>9</v>
      </c>
      <c r="G781" s="4">
        <v>6402.29</v>
      </c>
      <c r="H781">
        <f t="shared" si="25"/>
        <v>3</v>
      </c>
      <c r="I781" s="6">
        <f t="shared" si="26"/>
        <v>2134.0966666666668</v>
      </c>
      <c r="L781" s="19"/>
      <c r="O781" s="2"/>
      <c r="P781" s="3"/>
      <c r="Q781" s="2"/>
      <c r="R781" s="2"/>
      <c r="S781" s="3"/>
      <c r="T781" s="3"/>
      <c r="U781" s="4"/>
      <c r="W781" s="6"/>
    </row>
    <row r="782" spans="1:23" ht="15" thickBot="1" x14ac:dyDescent="0.35">
      <c r="A782" s="2">
        <v>35</v>
      </c>
      <c r="B782" s="3" t="s">
        <v>15</v>
      </c>
      <c r="C782" s="2">
        <v>34.200000000000003</v>
      </c>
      <c r="D782" s="2">
        <v>1</v>
      </c>
      <c r="E782" s="3" t="s">
        <v>16</v>
      </c>
      <c r="F782" s="3" t="s">
        <v>10</v>
      </c>
      <c r="G782" s="4">
        <v>5245.23</v>
      </c>
      <c r="H782">
        <f t="shared" si="25"/>
        <v>2</v>
      </c>
      <c r="I782" s="6">
        <f t="shared" si="26"/>
        <v>2622.6149999999998</v>
      </c>
      <c r="L782" s="19"/>
      <c r="O782" s="2"/>
      <c r="P782" s="3"/>
      <c r="Q782" s="2"/>
      <c r="R782" s="2"/>
      <c r="S782" s="3"/>
      <c r="T782" s="3"/>
      <c r="U782" s="4"/>
      <c r="W782" s="6"/>
    </row>
    <row r="783" spans="1:23" ht="15" thickBot="1" x14ac:dyDescent="0.35">
      <c r="A783" s="2">
        <v>35</v>
      </c>
      <c r="B783" s="3" t="s">
        <v>14</v>
      </c>
      <c r="C783" s="2">
        <v>27.1</v>
      </c>
      <c r="D783" s="2">
        <v>1</v>
      </c>
      <c r="E783" s="3" t="s">
        <v>16</v>
      </c>
      <c r="F783" s="3" t="s">
        <v>8</v>
      </c>
      <c r="G783" s="4">
        <v>4746.34</v>
      </c>
      <c r="H783">
        <f t="shared" si="25"/>
        <v>2</v>
      </c>
      <c r="I783" s="6">
        <f t="shared" si="26"/>
        <v>2373.17</v>
      </c>
      <c r="L783" s="19"/>
      <c r="O783" s="2"/>
      <c r="P783" s="3"/>
      <c r="Q783" s="2"/>
      <c r="R783" s="2"/>
      <c r="S783" s="3"/>
      <c r="T783" s="3"/>
      <c r="U783" s="4"/>
      <c r="W783" s="6"/>
    </row>
    <row r="784" spans="1:23" ht="15" thickBot="1" x14ac:dyDescent="0.35">
      <c r="A784" s="2">
        <v>35</v>
      </c>
      <c r="B784" s="3" t="s">
        <v>15</v>
      </c>
      <c r="C784" s="2">
        <v>28</v>
      </c>
      <c r="D784" s="2">
        <v>0</v>
      </c>
      <c r="E784" s="3" t="s">
        <v>17</v>
      </c>
      <c r="F784" s="3" t="s">
        <v>7</v>
      </c>
      <c r="G784" s="4">
        <v>20234.849999999999</v>
      </c>
      <c r="H784">
        <f t="shared" si="25"/>
        <v>1</v>
      </c>
      <c r="I784" s="6">
        <f t="shared" si="26"/>
        <v>20234.849999999999</v>
      </c>
      <c r="L784" s="19"/>
      <c r="O784" s="2"/>
      <c r="P784" s="3"/>
      <c r="Q784" s="2"/>
      <c r="R784" s="2"/>
      <c r="S784" s="3"/>
      <c r="T784" s="3"/>
      <c r="U784" s="4"/>
      <c r="W784" s="6"/>
    </row>
    <row r="785" spans="1:23" ht="15" thickBot="1" x14ac:dyDescent="0.35">
      <c r="A785" s="2">
        <v>35</v>
      </c>
      <c r="B785" s="3" t="s">
        <v>15</v>
      </c>
      <c r="C785" s="2">
        <v>35.9</v>
      </c>
      <c r="D785" s="2">
        <v>2</v>
      </c>
      <c r="E785" s="3" t="s">
        <v>16</v>
      </c>
      <c r="F785" s="3" t="s">
        <v>10</v>
      </c>
      <c r="G785" s="4">
        <v>5836.52</v>
      </c>
      <c r="H785">
        <f t="shared" si="25"/>
        <v>3</v>
      </c>
      <c r="I785" s="6">
        <f t="shared" si="26"/>
        <v>1945.5066666666669</v>
      </c>
      <c r="L785" s="19"/>
      <c r="O785" s="2"/>
      <c r="P785" s="3"/>
      <c r="Q785" s="2"/>
      <c r="R785" s="2"/>
      <c r="S785" s="3"/>
      <c r="T785" s="3"/>
      <c r="U785" s="4"/>
      <c r="W785" s="6"/>
    </row>
    <row r="786" spans="1:23" ht="15" thickBot="1" x14ac:dyDescent="0.35">
      <c r="A786" s="2">
        <v>35</v>
      </c>
      <c r="B786" s="3" t="s">
        <v>15</v>
      </c>
      <c r="C786" s="2">
        <v>35.799999999999997</v>
      </c>
      <c r="D786" s="2">
        <v>1</v>
      </c>
      <c r="E786" s="3" t="s">
        <v>16</v>
      </c>
      <c r="F786" s="3" t="s">
        <v>7</v>
      </c>
      <c r="G786" s="4">
        <v>5630.46</v>
      </c>
      <c r="H786">
        <f t="shared" si="25"/>
        <v>2</v>
      </c>
      <c r="I786" s="6">
        <f t="shared" si="26"/>
        <v>2815.23</v>
      </c>
      <c r="L786" s="19"/>
      <c r="O786" s="2"/>
      <c r="P786" s="3"/>
      <c r="Q786" s="2"/>
      <c r="R786" s="2"/>
      <c r="S786" s="3"/>
      <c r="T786" s="3"/>
      <c r="U786" s="4"/>
      <c r="W786" s="6"/>
    </row>
    <row r="787" spans="1:23" ht="15" thickBot="1" x14ac:dyDescent="0.35">
      <c r="A787" s="2">
        <v>35</v>
      </c>
      <c r="B787" s="3" t="s">
        <v>15</v>
      </c>
      <c r="C787" s="2">
        <v>26.1</v>
      </c>
      <c r="D787" s="2">
        <v>0</v>
      </c>
      <c r="E787" s="3" t="s">
        <v>16</v>
      </c>
      <c r="F787" s="3" t="s">
        <v>9</v>
      </c>
      <c r="G787" s="4">
        <v>5227.99</v>
      </c>
      <c r="H787">
        <f t="shared" si="25"/>
        <v>1</v>
      </c>
      <c r="I787" s="6">
        <f t="shared" si="26"/>
        <v>5227.99</v>
      </c>
      <c r="L787" s="19"/>
      <c r="O787" s="2"/>
      <c r="P787" s="3"/>
      <c r="Q787" s="2"/>
      <c r="R787" s="2"/>
      <c r="S787" s="3"/>
      <c r="T787" s="3"/>
      <c r="U787" s="4"/>
      <c r="W787" s="6"/>
    </row>
    <row r="788" spans="1:23" ht="15" thickBot="1" x14ac:dyDescent="0.35">
      <c r="A788" s="2">
        <v>35</v>
      </c>
      <c r="B788" s="3" t="s">
        <v>14</v>
      </c>
      <c r="C788" s="2">
        <v>17.899999999999999</v>
      </c>
      <c r="D788" s="2">
        <v>1</v>
      </c>
      <c r="E788" s="3" t="s">
        <v>16</v>
      </c>
      <c r="F788" s="3" t="s">
        <v>7</v>
      </c>
      <c r="G788" s="4">
        <v>5116.5</v>
      </c>
      <c r="H788">
        <f t="shared" si="25"/>
        <v>2</v>
      </c>
      <c r="I788" s="6">
        <f t="shared" si="26"/>
        <v>2558.25</v>
      </c>
      <c r="L788" s="19"/>
      <c r="O788" s="2"/>
      <c r="P788" s="3"/>
      <c r="Q788" s="2"/>
      <c r="R788" s="2"/>
      <c r="S788" s="3"/>
      <c r="T788" s="3"/>
      <c r="U788" s="4"/>
      <c r="W788" s="6"/>
    </row>
    <row r="789" spans="1:23" ht="15" thickBot="1" x14ac:dyDescent="0.35">
      <c r="A789" s="2">
        <v>35</v>
      </c>
      <c r="B789" s="3" t="s">
        <v>14</v>
      </c>
      <c r="C789" s="2">
        <v>27.6</v>
      </c>
      <c r="D789" s="2">
        <v>1</v>
      </c>
      <c r="E789" s="3" t="s">
        <v>16</v>
      </c>
      <c r="F789" s="3" t="s">
        <v>10</v>
      </c>
      <c r="G789" s="4">
        <v>4747.05</v>
      </c>
      <c r="H789">
        <f t="shared" si="25"/>
        <v>2</v>
      </c>
      <c r="I789" s="6">
        <f t="shared" si="26"/>
        <v>2373.5250000000001</v>
      </c>
      <c r="L789" s="19"/>
      <c r="O789" s="2"/>
      <c r="P789" s="3"/>
      <c r="Q789" s="2"/>
      <c r="R789" s="2"/>
      <c r="S789" s="3"/>
      <c r="T789" s="3"/>
      <c r="U789" s="4"/>
      <c r="W789" s="6"/>
    </row>
    <row r="790" spans="1:23" ht="15" thickBot="1" x14ac:dyDescent="0.35">
      <c r="A790" s="2">
        <v>35</v>
      </c>
      <c r="B790" s="3" t="s">
        <v>14</v>
      </c>
      <c r="C790" s="2">
        <v>39.700000000000003</v>
      </c>
      <c r="D790" s="2">
        <v>4</v>
      </c>
      <c r="E790" s="3" t="s">
        <v>16</v>
      </c>
      <c r="F790" s="3" t="s">
        <v>9</v>
      </c>
      <c r="G790" s="4">
        <v>19496.72</v>
      </c>
      <c r="H790">
        <f t="shared" si="25"/>
        <v>5</v>
      </c>
      <c r="I790" s="6">
        <f t="shared" si="26"/>
        <v>3899.3440000000001</v>
      </c>
      <c r="L790" s="19"/>
      <c r="O790" s="2"/>
      <c r="P790" s="3"/>
      <c r="Q790" s="2"/>
      <c r="R790" s="2"/>
      <c r="S790" s="3"/>
      <c r="T790" s="3"/>
      <c r="U790" s="4"/>
      <c r="W790" s="6"/>
    </row>
    <row r="791" spans="1:23" ht="15" thickBot="1" x14ac:dyDescent="0.35">
      <c r="A791" s="2">
        <v>34</v>
      </c>
      <c r="B791" s="3" t="s">
        <v>15</v>
      </c>
      <c r="C791" s="2">
        <v>31.9</v>
      </c>
      <c r="D791" s="2">
        <v>1</v>
      </c>
      <c r="E791" s="3" t="s">
        <v>17</v>
      </c>
      <c r="F791" s="3" t="s">
        <v>9</v>
      </c>
      <c r="G791" s="4">
        <v>37701.879999999997</v>
      </c>
      <c r="H791">
        <f t="shared" si="25"/>
        <v>2</v>
      </c>
      <c r="I791" s="6">
        <f t="shared" si="26"/>
        <v>18850.939999999999</v>
      </c>
      <c r="L791" s="19"/>
      <c r="O791" s="2"/>
      <c r="P791" s="3"/>
      <c r="Q791" s="2"/>
      <c r="R791" s="2"/>
      <c r="S791" s="3"/>
      <c r="T791" s="3"/>
      <c r="U791" s="4"/>
      <c r="W791" s="6"/>
    </row>
    <row r="792" spans="1:23" ht="15" thickBot="1" x14ac:dyDescent="0.35">
      <c r="A792" s="2">
        <v>34</v>
      </c>
      <c r="B792" s="3" t="s">
        <v>15</v>
      </c>
      <c r="C792" s="2">
        <v>37.299999999999997</v>
      </c>
      <c r="D792" s="2">
        <v>2</v>
      </c>
      <c r="E792" s="3" t="s">
        <v>16</v>
      </c>
      <c r="F792" s="3" t="s">
        <v>7</v>
      </c>
      <c r="G792" s="4">
        <v>5989.52</v>
      </c>
      <c r="H792">
        <f t="shared" si="25"/>
        <v>3</v>
      </c>
      <c r="I792" s="6">
        <f t="shared" si="26"/>
        <v>1996.5066666666669</v>
      </c>
      <c r="L792" s="19"/>
      <c r="O792" s="2"/>
      <c r="P792" s="3"/>
      <c r="Q792" s="2"/>
      <c r="R792" s="2"/>
      <c r="S792" s="3"/>
      <c r="T792" s="3"/>
      <c r="U792" s="4"/>
      <c r="W792" s="6"/>
    </row>
    <row r="793" spans="1:23" ht="15" thickBot="1" x14ac:dyDescent="0.35">
      <c r="A793" s="2">
        <v>34</v>
      </c>
      <c r="B793" s="3" t="s">
        <v>15</v>
      </c>
      <c r="C793" s="2">
        <v>27.5</v>
      </c>
      <c r="D793" s="2">
        <v>1</v>
      </c>
      <c r="E793" s="3" t="s">
        <v>16</v>
      </c>
      <c r="F793" s="3" t="s">
        <v>8</v>
      </c>
      <c r="G793" s="4">
        <v>5003.8500000000004</v>
      </c>
      <c r="H793">
        <f t="shared" si="25"/>
        <v>2</v>
      </c>
      <c r="I793" s="6">
        <f t="shared" si="26"/>
        <v>2501.9250000000002</v>
      </c>
      <c r="L793" s="19"/>
      <c r="O793" s="2"/>
      <c r="P793" s="3"/>
      <c r="Q793" s="2"/>
      <c r="R793" s="2"/>
      <c r="S793" s="3"/>
      <c r="T793" s="3"/>
      <c r="U793" s="4"/>
      <c r="W793" s="6"/>
    </row>
    <row r="794" spans="1:23" ht="15" thickBot="1" x14ac:dyDescent="0.35">
      <c r="A794" s="2">
        <v>34</v>
      </c>
      <c r="B794" s="3" t="s">
        <v>14</v>
      </c>
      <c r="C794" s="2">
        <v>22.4</v>
      </c>
      <c r="D794" s="2">
        <v>2</v>
      </c>
      <c r="E794" s="3" t="s">
        <v>16</v>
      </c>
      <c r="F794" s="3" t="s">
        <v>9</v>
      </c>
      <c r="G794" s="4">
        <v>27375.9</v>
      </c>
      <c r="H794">
        <f t="shared" si="25"/>
        <v>3</v>
      </c>
      <c r="I794" s="6">
        <f t="shared" si="26"/>
        <v>9125.3000000000011</v>
      </c>
      <c r="L794" s="19"/>
      <c r="O794" s="2"/>
      <c r="P794" s="3"/>
      <c r="Q794" s="2"/>
      <c r="R794" s="2"/>
      <c r="S794" s="3"/>
      <c r="T794" s="3"/>
      <c r="U794" s="4"/>
      <c r="W794" s="6"/>
    </row>
    <row r="795" spans="1:23" ht="15" thickBot="1" x14ac:dyDescent="0.35">
      <c r="A795" s="2">
        <v>34</v>
      </c>
      <c r="B795" s="3" t="s">
        <v>14</v>
      </c>
      <c r="C795" s="2">
        <v>25.3</v>
      </c>
      <c r="D795" s="2">
        <v>2</v>
      </c>
      <c r="E795" s="3" t="s">
        <v>17</v>
      </c>
      <c r="F795" s="3" t="s">
        <v>10</v>
      </c>
      <c r="G795" s="4">
        <v>18972.5</v>
      </c>
      <c r="H795">
        <f t="shared" si="25"/>
        <v>3</v>
      </c>
      <c r="I795" s="6">
        <f t="shared" si="26"/>
        <v>6324.166666666667</v>
      </c>
      <c r="L795" s="19"/>
      <c r="O795" s="2"/>
      <c r="P795" s="3"/>
      <c r="Q795" s="2"/>
      <c r="R795" s="2"/>
      <c r="S795" s="3"/>
      <c r="T795" s="3"/>
      <c r="U795" s="4"/>
      <c r="W795" s="6"/>
    </row>
    <row r="796" spans="1:23" ht="15" thickBot="1" x14ac:dyDescent="0.35">
      <c r="A796" s="2">
        <v>34</v>
      </c>
      <c r="B796" s="3" t="s">
        <v>15</v>
      </c>
      <c r="C796" s="2">
        <v>26.7</v>
      </c>
      <c r="D796" s="2">
        <v>1</v>
      </c>
      <c r="E796" s="3" t="s">
        <v>16</v>
      </c>
      <c r="F796" s="3" t="s">
        <v>10</v>
      </c>
      <c r="G796" s="4">
        <v>5002.78</v>
      </c>
      <c r="H796">
        <f t="shared" si="25"/>
        <v>2</v>
      </c>
      <c r="I796" s="6">
        <f t="shared" si="26"/>
        <v>2501.39</v>
      </c>
      <c r="L796" s="19"/>
      <c r="O796" s="2"/>
      <c r="P796" s="3"/>
      <c r="Q796" s="2"/>
      <c r="R796" s="2"/>
      <c r="S796" s="3"/>
      <c r="T796" s="3"/>
      <c r="U796" s="4"/>
      <c r="W796" s="6"/>
    </row>
    <row r="797" spans="1:23" ht="15" thickBot="1" x14ac:dyDescent="0.35">
      <c r="A797" s="2">
        <v>34</v>
      </c>
      <c r="B797" s="3" t="s">
        <v>15</v>
      </c>
      <c r="C797" s="2">
        <v>33.700000000000003</v>
      </c>
      <c r="D797" s="2">
        <v>1</v>
      </c>
      <c r="E797" s="3" t="s">
        <v>16</v>
      </c>
      <c r="F797" s="3" t="s">
        <v>8</v>
      </c>
      <c r="G797" s="4">
        <v>5012.47</v>
      </c>
      <c r="H797">
        <f t="shared" si="25"/>
        <v>2</v>
      </c>
      <c r="I797" s="6">
        <f t="shared" si="26"/>
        <v>2506.2350000000001</v>
      </c>
      <c r="L797" s="19"/>
      <c r="O797" s="2"/>
      <c r="P797" s="3"/>
      <c r="Q797" s="2"/>
      <c r="R797" s="2"/>
      <c r="S797" s="3"/>
      <c r="T797" s="3"/>
      <c r="U797" s="4"/>
      <c r="W797" s="6"/>
    </row>
    <row r="798" spans="1:23" ht="15" thickBot="1" x14ac:dyDescent="0.35">
      <c r="A798" s="2">
        <v>34</v>
      </c>
      <c r="B798" s="3" t="s">
        <v>14</v>
      </c>
      <c r="C798" s="2">
        <v>25.3</v>
      </c>
      <c r="D798" s="2">
        <v>1</v>
      </c>
      <c r="E798" s="3" t="s">
        <v>16</v>
      </c>
      <c r="F798" s="3" t="s">
        <v>7</v>
      </c>
      <c r="G798" s="4">
        <v>4894.75</v>
      </c>
      <c r="H798">
        <f t="shared" si="25"/>
        <v>2</v>
      </c>
      <c r="I798" s="6">
        <f t="shared" si="26"/>
        <v>2447.375</v>
      </c>
      <c r="L798" s="19"/>
      <c r="O798" s="2"/>
      <c r="P798" s="3"/>
      <c r="Q798" s="2"/>
      <c r="R798" s="2"/>
      <c r="S798" s="3"/>
      <c r="T798" s="3"/>
      <c r="U798" s="4"/>
      <c r="W798" s="6"/>
    </row>
    <row r="799" spans="1:23" ht="15" thickBot="1" x14ac:dyDescent="0.35">
      <c r="A799" s="2">
        <v>34</v>
      </c>
      <c r="B799" s="3" t="s">
        <v>14</v>
      </c>
      <c r="C799" s="2">
        <v>30.8</v>
      </c>
      <c r="D799" s="2">
        <v>0</v>
      </c>
      <c r="E799" s="3" t="s">
        <v>17</v>
      </c>
      <c r="F799" s="3" t="s">
        <v>8</v>
      </c>
      <c r="G799" s="4">
        <v>35491.64</v>
      </c>
      <c r="H799">
        <f t="shared" si="25"/>
        <v>1</v>
      </c>
      <c r="I799" s="6">
        <f t="shared" si="26"/>
        <v>35491.64</v>
      </c>
      <c r="L799" s="19"/>
      <c r="O799" s="2"/>
      <c r="P799" s="3"/>
      <c r="Q799" s="2"/>
      <c r="R799" s="2"/>
      <c r="S799" s="3"/>
      <c r="T799" s="3"/>
      <c r="U799" s="4"/>
      <c r="W799" s="6"/>
    </row>
    <row r="800" spans="1:23" ht="15" thickBot="1" x14ac:dyDescent="0.35">
      <c r="A800" s="2">
        <v>34</v>
      </c>
      <c r="B800" s="3" t="s">
        <v>15</v>
      </c>
      <c r="C800" s="2">
        <v>29.3</v>
      </c>
      <c r="D800" s="2">
        <v>3</v>
      </c>
      <c r="E800" s="3" t="s">
        <v>16</v>
      </c>
      <c r="F800" s="3" t="s">
        <v>10</v>
      </c>
      <c r="G800" s="4">
        <v>6184.3</v>
      </c>
      <c r="H800">
        <f t="shared" si="25"/>
        <v>4</v>
      </c>
      <c r="I800" s="6">
        <f t="shared" si="26"/>
        <v>1546.075</v>
      </c>
      <c r="L800" s="19"/>
      <c r="O800" s="2"/>
      <c r="P800" s="3"/>
      <c r="Q800" s="2"/>
      <c r="R800" s="2"/>
      <c r="S800" s="3"/>
      <c r="T800" s="3"/>
      <c r="U800" s="4"/>
      <c r="W800" s="6"/>
    </row>
    <row r="801" spans="1:23" ht="15" thickBot="1" x14ac:dyDescent="0.35">
      <c r="A801" s="2">
        <v>34</v>
      </c>
      <c r="B801" s="3" t="s">
        <v>15</v>
      </c>
      <c r="C801" s="2">
        <v>38</v>
      </c>
      <c r="D801" s="2">
        <v>3</v>
      </c>
      <c r="E801" s="3" t="s">
        <v>16</v>
      </c>
      <c r="F801" s="3" t="s">
        <v>8</v>
      </c>
      <c r="G801" s="4">
        <v>6196.45</v>
      </c>
      <c r="H801">
        <f t="shared" si="25"/>
        <v>4</v>
      </c>
      <c r="I801" s="6">
        <f t="shared" si="26"/>
        <v>1549.1125</v>
      </c>
      <c r="L801" s="19"/>
      <c r="O801" s="2"/>
      <c r="P801" s="3"/>
      <c r="Q801" s="2"/>
      <c r="R801" s="2"/>
      <c r="S801" s="3"/>
      <c r="T801" s="3"/>
      <c r="U801" s="4"/>
      <c r="W801" s="6"/>
    </row>
    <row r="802" spans="1:23" ht="15" thickBot="1" x14ac:dyDescent="0.35">
      <c r="A802" s="2">
        <v>34</v>
      </c>
      <c r="B802" s="3" t="s">
        <v>14</v>
      </c>
      <c r="C802" s="2">
        <v>34.200000000000003</v>
      </c>
      <c r="D802" s="2">
        <v>0</v>
      </c>
      <c r="E802" s="3" t="s">
        <v>16</v>
      </c>
      <c r="F802" s="3" t="s">
        <v>10</v>
      </c>
      <c r="G802" s="4">
        <v>3935.18</v>
      </c>
      <c r="H802">
        <f t="shared" si="25"/>
        <v>1</v>
      </c>
      <c r="I802" s="6">
        <f t="shared" si="26"/>
        <v>3935.18</v>
      </c>
      <c r="L802" s="19"/>
      <c r="O802" s="2"/>
      <c r="P802" s="3"/>
      <c r="Q802" s="2"/>
      <c r="R802" s="2"/>
      <c r="S802" s="3"/>
      <c r="T802" s="3"/>
      <c r="U802" s="4"/>
      <c r="W802" s="6"/>
    </row>
    <row r="803" spans="1:23" ht="15" thickBot="1" x14ac:dyDescent="0.35">
      <c r="A803" s="2">
        <v>34</v>
      </c>
      <c r="B803" s="3" t="s">
        <v>15</v>
      </c>
      <c r="C803" s="2">
        <v>30.2</v>
      </c>
      <c r="D803" s="2">
        <v>1</v>
      </c>
      <c r="E803" s="3" t="s">
        <v>17</v>
      </c>
      <c r="F803" s="3" t="s">
        <v>7</v>
      </c>
      <c r="G803" s="4">
        <v>43943.88</v>
      </c>
      <c r="H803">
        <f t="shared" si="25"/>
        <v>2</v>
      </c>
      <c r="I803" s="6">
        <f t="shared" si="26"/>
        <v>21971.94</v>
      </c>
      <c r="L803" s="19"/>
      <c r="O803" s="2"/>
      <c r="P803" s="3"/>
      <c r="Q803" s="2"/>
      <c r="R803" s="2"/>
      <c r="S803" s="3"/>
      <c r="T803" s="3"/>
      <c r="U803" s="4"/>
      <c r="W803" s="6"/>
    </row>
    <row r="804" spans="1:23" ht="15" thickBot="1" x14ac:dyDescent="0.35">
      <c r="A804" s="2">
        <v>34</v>
      </c>
      <c r="B804" s="3" t="s">
        <v>15</v>
      </c>
      <c r="C804" s="2">
        <v>33.299999999999997</v>
      </c>
      <c r="D804" s="2">
        <v>1</v>
      </c>
      <c r="E804" s="3" t="s">
        <v>16</v>
      </c>
      <c r="F804" s="3" t="s">
        <v>9</v>
      </c>
      <c r="G804" s="4">
        <v>5594.85</v>
      </c>
      <c r="H804">
        <f t="shared" si="25"/>
        <v>2</v>
      </c>
      <c r="I804" s="6">
        <f t="shared" si="26"/>
        <v>2797.4250000000002</v>
      </c>
      <c r="L804" s="19"/>
      <c r="O804" s="2"/>
      <c r="P804" s="3"/>
      <c r="Q804" s="2"/>
      <c r="R804" s="2"/>
      <c r="S804" s="3"/>
      <c r="T804" s="3"/>
      <c r="U804" s="4"/>
      <c r="W804" s="6"/>
    </row>
    <row r="805" spans="1:23" ht="15" thickBot="1" x14ac:dyDescent="0.35">
      <c r="A805" s="2">
        <v>34</v>
      </c>
      <c r="B805" s="3" t="s">
        <v>15</v>
      </c>
      <c r="C805" s="2">
        <v>19</v>
      </c>
      <c r="D805" s="2">
        <v>3</v>
      </c>
      <c r="E805" s="3" t="s">
        <v>16</v>
      </c>
      <c r="F805" s="3" t="s">
        <v>9</v>
      </c>
      <c r="G805" s="4">
        <v>6753.04</v>
      </c>
      <c r="H805">
        <f t="shared" si="25"/>
        <v>4</v>
      </c>
      <c r="I805" s="6">
        <f t="shared" si="26"/>
        <v>1688.26</v>
      </c>
      <c r="L805" s="19"/>
      <c r="O805" s="2"/>
      <c r="P805" s="3"/>
      <c r="Q805" s="2"/>
      <c r="R805" s="2"/>
      <c r="S805" s="3"/>
      <c r="T805" s="3"/>
      <c r="U805" s="4"/>
      <c r="W805" s="6"/>
    </row>
    <row r="806" spans="1:23" ht="15" thickBot="1" x14ac:dyDescent="0.35">
      <c r="A806" s="2">
        <v>34</v>
      </c>
      <c r="B806" s="3" t="s">
        <v>15</v>
      </c>
      <c r="C806" s="2">
        <v>26.4</v>
      </c>
      <c r="D806" s="2">
        <v>1</v>
      </c>
      <c r="E806" s="3" t="s">
        <v>16</v>
      </c>
      <c r="F806" s="3" t="s">
        <v>7</v>
      </c>
      <c r="G806" s="4">
        <v>5385.34</v>
      </c>
      <c r="H806">
        <f t="shared" si="25"/>
        <v>2</v>
      </c>
      <c r="I806" s="6">
        <f t="shared" si="26"/>
        <v>2692.67</v>
      </c>
      <c r="L806" s="19"/>
      <c r="O806" s="2"/>
      <c r="P806" s="3"/>
      <c r="Q806" s="2"/>
      <c r="R806" s="2"/>
      <c r="S806" s="3"/>
      <c r="T806" s="3"/>
      <c r="U806" s="4"/>
      <c r="W806" s="6"/>
    </row>
    <row r="807" spans="1:23" ht="15" thickBot="1" x14ac:dyDescent="0.35">
      <c r="A807" s="2">
        <v>34</v>
      </c>
      <c r="B807" s="3" t="s">
        <v>14</v>
      </c>
      <c r="C807" s="2">
        <v>27</v>
      </c>
      <c r="D807" s="2">
        <v>2</v>
      </c>
      <c r="E807" s="3" t="s">
        <v>16</v>
      </c>
      <c r="F807" s="3" t="s">
        <v>8</v>
      </c>
      <c r="G807" s="4">
        <v>11737.85</v>
      </c>
      <c r="H807">
        <f t="shared" si="25"/>
        <v>3</v>
      </c>
      <c r="I807" s="6">
        <f t="shared" si="26"/>
        <v>3912.6166666666668</v>
      </c>
      <c r="L807" s="19"/>
      <c r="O807" s="2"/>
      <c r="P807" s="3"/>
      <c r="Q807" s="2"/>
      <c r="R807" s="2"/>
      <c r="S807" s="3"/>
      <c r="T807" s="3"/>
      <c r="U807" s="4"/>
      <c r="W807" s="6"/>
    </row>
    <row r="808" spans="1:23" ht="15" thickBot="1" x14ac:dyDescent="0.35">
      <c r="A808" s="2">
        <v>34</v>
      </c>
      <c r="B808" s="3" t="s">
        <v>14</v>
      </c>
      <c r="C808" s="2">
        <v>35.799999999999997</v>
      </c>
      <c r="D808" s="2">
        <v>0</v>
      </c>
      <c r="E808" s="3" t="s">
        <v>16</v>
      </c>
      <c r="F808" s="3" t="s">
        <v>7</v>
      </c>
      <c r="G808" s="4">
        <v>4320.41</v>
      </c>
      <c r="H808">
        <f t="shared" si="25"/>
        <v>1</v>
      </c>
      <c r="I808" s="6">
        <f t="shared" si="26"/>
        <v>4320.41</v>
      </c>
      <c r="L808" s="19"/>
      <c r="O808" s="2"/>
      <c r="P808" s="3"/>
      <c r="Q808" s="2"/>
      <c r="R808" s="2"/>
      <c r="S808" s="3"/>
      <c r="T808" s="3"/>
      <c r="U808" s="4"/>
      <c r="W808" s="6"/>
    </row>
    <row r="809" spans="1:23" ht="15" thickBot="1" x14ac:dyDescent="0.35">
      <c r="A809" s="2">
        <v>34</v>
      </c>
      <c r="B809" s="3" t="s">
        <v>14</v>
      </c>
      <c r="C809" s="2">
        <v>27.8</v>
      </c>
      <c r="D809" s="2">
        <v>1</v>
      </c>
      <c r="E809" s="3" t="s">
        <v>17</v>
      </c>
      <c r="F809" s="3" t="s">
        <v>7</v>
      </c>
      <c r="G809" s="4">
        <v>20009.63</v>
      </c>
      <c r="H809">
        <f t="shared" si="25"/>
        <v>2</v>
      </c>
      <c r="I809" s="6">
        <f t="shared" si="26"/>
        <v>10004.815000000001</v>
      </c>
      <c r="L809" s="19"/>
      <c r="O809" s="2"/>
      <c r="P809" s="3"/>
      <c r="Q809" s="2"/>
      <c r="R809" s="2"/>
      <c r="S809" s="3"/>
      <c r="T809" s="3"/>
      <c r="U809" s="4"/>
      <c r="W809" s="6"/>
    </row>
    <row r="810" spans="1:23" ht="15" thickBot="1" x14ac:dyDescent="0.35">
      <c r="A810" s="2">
        <v>34</v>
      </c>
      <c r="B810" s="3" t="s">
        <v>15</v>
      </c>
      <c r="C810" s="2">
        <v>23.6</v>
      </c>
      <c r="D810" s="2">
        <v>0</v>
      </c>
      <c r="E810" s="3" t="s">
        <v>16</v>
      </c>
      <c r="F810" s="3" t="s">
        <v>9</v>
      </c>
      <c r="G810" s="4">
        <v>4992.38</v>
      </c>
      <c r="H810">
        <f t="shared" si="25"/>
        <v>1</v>
      </c>
      <c r="I810" s="6">
        <f t="shared" si="26"/>
        <v>4992.38</v>
      </c>
      <c r="L810" s="19"/>
      <c r="O810" s="2"/>
      <c r="P810" s="3"/>
      <c r="Q810" s="2"/>
      <c r="R810" s="2"/>
      <c r="S810" s="3"/>
      <c r="T810" s="3"/>
      <c r="U810" s="4"/>
      <c r="W810" s="6"/>
    </row>
    <row r="811" spans="1:23" ht="15" thickBot="1" x14ac:dyDescent="0.35">
      <c r="A811" s="2">
        <v>34</v>
      </c>
      <c r="B811" s="3" t="s">
        <v>14</v>
      </c>
      <c r="C811" s="2">
        <v>21.4</v>
      </c>
      <c r="D811" s="2">
        <v>0</v>
      </c>
      <c r="E811" s="3" t="s">
        <v>16</v>
      </c>
      <c r="F811" s="3" t="s">
        <v>9</v>
      </c>
      <c r="G811" s="4">
        <v>4500.34</v>
      </c>
      <c r="H811">
        <f t="shared" si="25"/>
        <v>1</v>
      </c>
      <c r="I811" s="6">
        <f t="shared" si="26"/>
        <v>4500.34</v>
      </c>
      <c r="L811" s="19"/>
      <c r="O811" s="2"/>
      <c r="P811" s="3"/>
      <c r="Q811" s="2"/>
      <c r="R811" s="2"/>
      <c r="S811" s="3"/>
      <c r="T811" s="3"/>
      <c r="U811" s="4"/>
      <c r="W811" s="6"/>
    </row>
    <row r="812" spans="1:23" ht="15" thickBot="1" x14ac:dyDescent="0.35">
      <c r="A812" s="2">
        <v>34</v>
      </c>
      <c r="B812" s="3" t="s">
        <v>14</v>
      </c>
      <c r="C812" s="2">
        <v>34.700000000000003</v>
      </c>
      <c r="D812" s="2">
        <v>0</v>
      </c>
      <c r="E812" s="3" t="s">
        <v>16</v>
      </c>
      <c r="F812" s="3" t="s">
        <v>9</v>
      </c>
      <c r="G812" s="4">
        <v>4518.83</v>
      </c>
      <c r="H812">
        <f t="shared" si="25"/>
        <v>1</v>
      </c>
      <c r="I812" s="6">
        <f t="shared" si="26"/>
        <v>4518.83</v>
      </c>
      <c r="L812" s="19"/>
      <c r="O812" s="2"/>
      <c r="P812" s="3"/>
      <c r="Q812" s="2"/>
      <c r="R812" s="2"/>
      <c r="S812" s="3"/>
      <c r="T812" s="3"/>
      <c r="U812" s="4"/>
      <c r="W812" s="6"/>
    </row>
    <row r="813" spans="1:23" ht="15" thickBot="1" x14ac:dyDescent="0.35">
      <c r="A813" s="2">
        <v>34</v>
      </c>
      <c r="B813" s="3" t="s">
        <v>14</v>
      </c>
      <c r="C813" s="2">
        <v>32.799999999999997</v>
      </c>
      <c r="D813" s="2">
        <v>1</v>
      </c>
      <c r="E813" s="3" t="s">
        <v>16</v>
      </c>
      <c r="F813" s="3" t="s">
        <v>8</v>
      </c>
      <c r="G813" s="4">
        <v>14358.36</v>
      </c>
      <c r="H813">
        <f t="shared" si="25"/>
        <v>2</v>
      </c>
      <c r="I813" s="6">
        <f t="shared" si="26"/>
        <v>7179.18</v>
      </c>
      <c r="L813" s="19"/>
      <c r="O813" s="2"/>
      <c r="P813" s="3"/>
      <c r="Q813" s="2"/>
      <c r="R813" s="2"/>
      <c r="S813" s="3"/>
      <c r="T813" s="3"/>
      <c r="U813" s="4"/>
      <c r="W813" s="6"/>
    </row>
    <row r="814" spans="1:23" ht="15" thickBot="1" x14ac:dyDescent="0.35">
      <c r="A814" s="2">
        <v>34</v>
      </c>
      <c r="B814" s="3" t="s">
        <v>14</v>
      </c>
      <c r="C814" s="2">
        <v>42.1</v>
      </c>
      <c r="D814" s="2">
        <v>2</v>
      </c>
      <c r="E814" s="3" t="s">
        <v>16</v>
      </c>
      <c r="F814" s="3" t="s">
        <v>10</v>
      </c>
      <c r="G814" s="4">
        <v>5124.1899999999996</v>
      </c>
      <c r="H814">
        <f t="shared" si="25"/>
        <v>3</v>
      </c>
      <c r="I814" s="6">
        <f t="shared" si="26"/>
        <v>1708.0633333333333</v>
      </c>
      <c r="L814" s="19"/>
      <c r="O814" s="2"/>
      <c r="P814" s="3"/>
      <c r="Q814" s="2"/>
      <c r="R814" s="2"/>
      <c r="S814" s="3"/>
      <c r="T814" s="3"/>
      <c r="U814" s="4"/>
      <c r="W814" s="6"/>
    </row>
    <row r="815" spans="1:23" ht="15" thickBot="1" x14ac:dyDescent="0.35">
      <c r="A815" s="2">
        <v>34</v>
      </c>
      <c r="B815" s="3" t="s">
        <v>15</v>
      </c>
      <c r="C815" s="2">
        <v>27.7</v>
      </c>
      <c r="D815" s="2">
        <v>0</v>
      </c>
      <c r="E815" s="3" t="s">
        <v>16</v>
      </c>
      <c r="F815" s="3" t="s">
        <v>10</v>
      </c>
      <c r="G815" s="4">
        <v>4415.16</v>
      </c>
      <c r="H815">
        <f t="shared" si="25"/>
        <v>1</v>
      </c>
      <c r="I815" s="6">
        <f t="shared" si="26"/>
        <v>4415.16</v>
      </c>
      <c r="L815" s="19"/>
      <c r="O815" s="2"/>
      <c r="P815" s="3"/>
      <c r="Q815" s="2"/>
      <c r="R815" s="2"/>
      <c r="S815" s="3"/>
      <c r="T815" s="3"/>
      <c r="U815" s="4"/>
      <c r="W815" s="6"/>
    </row>
    <row r="816" spans="1:23" ht="15" thickBot="1" x14ac:dyDescent="0.35">
      <c r="A816" s="2">
        <v>34</v>
      </c>
      <c r="B816" s="3" t="s">
        <v>14</v>
      </c>
      <c r="C816" s="2">
        <v>42.9</v>
      </c>
      <c r="D816" s="2">
        <v>1</v>
      </c>
      <c r="E816" s="3" t="s">
        <v>16</v>
      </c>
      <c r="F816" s="3" t="s">
        <v>8</v>
      </c>
      <c r="G816" s="4">
        <v>4536.26</v>
      </c>
      <c r="H816">
        <f t="shared" si="25"/>
        <v>2</v>
      </c>
      <c r="I816" s="6">
        <f t="shared" si="26"/>
        <v>2268.13</v>
      </c>
      <c r="L816" s="19"/>
      <c r="O816" s="2"/>
      <c r="P816" s="3"/>
      <c r="Q816" s="2"/>
      <c r="R816" s="2"/>
      <c r="S816" s="3"/>
      <c r="T816" s="3"/>
      <c r="U816" s="4"/>
      <c r="W816" s="6"/>
    </row>
    <row r="817" spans="1:23" ht="15" thickBot="1" x14ac:dyDescent="0.35">
      <c r="A817" s="2">
        <v>33</v>
      </c>
      <c r="B817" s="3" t="s">
        <v>14</v>
      </c>
      <c r="C817" s="2">
        <v>22.7</v>
      </c>
      <c r="D817" s="2">
        <v>0</v>
      </c>
      <c r="E817" s="3" t="s">
        <v>16</v>
      </c>
      <c r="F817" s="3" t="s">
        <v>7</v>
      </c>
      <c r="G817" s="4">
        <v>21984.47</v>
      </c>
      <c r="H817">
        <f t="shared" si="25"/>
        <v>1</v>
      </c>
      <c r="I817" s="6">
        <f t="shared" si="26"/>
        <v>21984.47</v>
      </c>
      <c r="L817" s="19"/>
      <c r="O817" s="2"/>
      <c r="P817" s="3"/>
      <c r="Q817" s="2"/>
      <c r="R817" s="2"/>
      <c r="S817" s="3"/>
      <c r="T817" s="3"/>
      <c r="U817" s="4"/>
      <c r="W817" s="6"/>
    </row>
    <row r="818" spans="1:23" ht="15" thickBot="1" x14ac:dyDescent="0.35">
      <c r="A818" s="2">
        <v>33</v>
      </c>
      <c r="B818" s="3" t="s">
        <v>15</v>
      </c>
      <c r="C818" s="2">
        <v>22.1</v>
      </c>
      <c r="D818" s="2">
        <v>1</v>
      </c>
      <c r="E818" s="3" t="s">
        <v>16</v>
      </c>
      <c r="F818" s="3" t="s">
        <v>9</v>
      </c>
      <c r="G818" s="4">
        <v>5354.07</v>
      </c>
      <c r="H818">
        <f t="shared" si="25"/>
        <v>2</v>
      </c>
      <c r="I818" s="6">
        <f t="shared" si="26"/>
        <v>2677.0349999999999</v>
      </c>
      <c r="L818" s="19"/>
      <c r="O818" s="2"/>
      <c r="P818" s="3"/>
      <c r="Q818" s="2"/>
      <c r="R818" s="2"/>
      <c r="S818" s="3"/>
      <c r="T818" s="3"/>
      <c r="U818" s="4"/>
      <c r="W818" s="6"/>
    </row>
    <row r="819" spans="1:23" ht="15" thickBot="1" x14ac:dyDescent="0.35">
      <c r="A819" s="2">
        <v>33</v>
      </c>
      <c r="B819" s="3" t="s">
        <v>14</v>
      </c>
      <c r="C819" s="2">
        <v>35.799999999999997</v>
      </c>
      <c r="D819" s="2">
        <v>2</v>
      </c>
      <c r="E819" s="3" t="s">
        <v>16</v>
      </c>
      <c r="F819" s="3" t="s">
        <v>10</v>
      </c>
      <c r="G819" s="4">
        <v>4890</v>
      </c>
      <c r="H819">
        <f t="shared" si="25"/>
        <v>3</v>
      </c>
      <c r="I819" s="6">
        <f t="shared" si="26"/>
        <v>1630</v>
      </c>
      <c r="L819" s="19"/>
      <c r="O819" s="2"/>
      <c r="P819" s="3"/>
      <c r="Q819" s="2"/>
      <c r="R819" s="2"/>
      <c r="S819" s="3"/>
      <c r="T819" s="3"/>
      <c r="U819" s="4"/>
      <c r="W819" s="6"/>
    </row>
    <row r="820" spans="1:23" ht="15" thickBot="1" x14ac:dyDescent="0.35">
      <c r="A820" s="2">
        <v>33</v>
      </c>
      <c r="B820" s="3" t="s">
        <v>14</v>
      </c>
      <c r="C820" s="2">
        <v>35.200000000000003</v>
      </c>
      <c r="D820" s="2">
        <v>0</v>
      </c>
      <c r="E820" s="3" t="s">
        <v>16</v>
      </c>
      <c r="F820" s="3" t="s">
        <v>9</v>
      </c>
      <c r="G820" s="4">
        <v>12404.88</v>
      </c>
      <c r="H820">
        <f t="shared" si="25"/>
        <v>1</v>
      </c>
      <c r="I820" s="6">
        <f t="shared" si="26"/>
        <v>12404.88</v>
      </c>
      <c r="L820" s="19"/>
      <c r="O820" s="2"/>
      <c r="P820" s="3"/>
      <c r="Q820" s="2"/>
      <c r="R820" s="2"/>
      <c r="S820" s="3"/>
      <c r="T820" s="3"/>
      <c r="U820" s="4"/>
      <c r="W820" s="6"/>
    </row>
    <row r="821" spans="1:23" ht="15" thickBot="1" x14ac:dyDescent="0.35">
      <c r="A821" s="2">
        <v>33</v>
      </c>
      <c r="B821" s="3" t="s">
        <v>15</v>
      </c>
      <c r="C821" s="2">
        <v>24.3</v>
      </c>
      <c r="D821" s="2">
        <v>0</v>
      </c>
      <c r="E821" s="3" t="s">
        <v>16</v>
      </c>
      <c r="F821" s="3" t="s">
        <v>10</v>
      </c>
      <c r="G821" s="4">
        <v>4185.1000000000004</v>
      </c>
      <c r="H821">
        <f t="shared" si="25"/>
        <v>1</v>
      </c>
      <c r="I821" s="6">
        <f t="shared" si="26"/>
        <v>4185.1000000000004</v>
      </c>
      <c r="L821" s="19"/>
      <c r="O821" s="2"/>
      <c r="P821" s="3"/>
      <c r="Q821" s="2"/>
      <c r="R821" s="2"/>
      <c r="S821" s="3"/>
      <c r="T821" s="3"/>
      <c r="U821" s="4"/>
      <c r="W821" s="6"/>
    </row>
    <row r="822" spans="1:23" ht="15" thickBot="1" x14ac:dyDescent="0.35">
      <c r="A822" s="2">
        <v>33</v>
      </c>
      <c r="B822" s="3" t="s">
        <v>15</v>
      </c>
      <c r="C822" s="2">
        <v>33.5</v>
      </c>
      <c r="D822" s="2">
        <v>0</v>
      </c>
      <c r="E822" s="3" t="s">
        <v>17</v>
      </c>
      <c r="F822" s="3" t="s">
        <v>8</v>
      </c>
      <c r="G822" s="4">
        <v>37079.370000000003</v>
      </c>
      <c r="H822">
        <f t="shared" si="25"/>
        <v>1</v>
      </c>
      <c r="I822" s="6">
        <f t="shared" si="26"/>
        <v>37079.370000000003</v>
      </c>
      <c r="L822" s="19"/>
      <c r="O822" s="2"/>
      <c r="P822" s="3"/>
      <c r="Q822" s="2"/>
      <c r="R822" s="2"/>
      <c r="S822" s="3"/>
      <c r="T822" s="3"/>
      <c r="U822" s="4"/>
      <c r="W822" s="6"/>
    </row>
    <row r="823" spans="1:23" ht="15" thickBot="1" x14ac:dyDescent="0.35">
      <c r="A823" s="2">
        <v>33</v>
      </c>
      <c r="B823" s="3" t="s">
        <v>15</v>
      </c>
      <c r="C823" s="2">
        <v>38.9</v>
      </c>
      <c r="D823" s="2">
        <v>3</v>
      </c>
      <c r="E823" s="3" t="s">
        <v>16</v>
      </c>
      <c r="F823" s="3" t="s">
        <v>8</v>
      </c>
      <c r="G823" s="4">
        <v>5972.38</v>
      </c>
      <c r="H823">
        <f t="shared" si="25"/>
        <v>4</v>
      </c>
      <c r="I823" s="6">
        <f t="shared" si="26"/>
        <v>1493.095</v>
      </c>
      <c r="L823" s="19"/>
      <c r="O823" s="2"/>
      <c r="P823" s="3"/>
      <c r="Q823" s="2"/>
      <c r="R823" s="2"/>
      <c r="S823" s="3"/>
      <c r="T823" s="3"/>
      <c r="U823" s="4"/>
      <c r="W823" s="6"/>
    </row>
    <row r="824" spans="1:23" ht="15" thickBot="1" x14ac:dyDescent="0.35">
      <c r="A824" s="2">
        <v>33</v>
      </c>
      <c r="B824" s="3" t="s">
        <v>15</v>
      </c>
      <c r="C824" s="2">
        <v>28.3</v>
      </c>
      <c r="D824" s="2">
        <v>1</v>
      </c>
      <c r="E824" s="3" t="s">
        <v>16</v>
      </c>
      <c r="F824" s="3" t="s">
        <v>10</v>
      </c>
      <c r="G824" s="4">
        <v>4779.6000000000004</v>
      </c>
      <c r="H824">
        <f t="shared" si="25"/>
        <v>2</v>
      </c>
      <c r="I824" s="6">
        <f t="shared" si="26"/>
        <v>2389.8000000000002</v>
      </c>
      <c r="L824" s="19"/>
      <c r="O824" s="2"/>
      <c r="P824" s="3"/>
      <c r="Q824" s="2"/>
      <c r="R824" s="2"/>
      <c r="S824" s="3"/>
      <c r="T824" s="3"/>
      <c r="U824" s="4"/>
      <c r="W824" s="6"/>
    </row>
    <row r="825" spans="1:23" ht="15" thickBot="1" x14ac:dyDescent="0.35">
      <c r="A825" s="2">
        <v>33</v>
      </c>
      <c r="B825" s="3" t="s">
        <v>14</v>
      </c>
      <c r="C825" s="2">
        <v>42.5</v>
      </c>
      <c r="D825" s="2">
        <v>1</v>
      </c>
      <c r="E825" s="3" t="s">
        <v>16</v>
      </c>
      <c r="F825" s="3" t="s">
        <v>10</v>
      </c>
      <c r="G825" s="4">
        <v>11326.71</v>
      </c>
      <c r="H825">
        <f t="shared" si="25"/>
        <v>2</v>
      </c>
      <c r="I825" s="6">
        <f t="shared" si="26"/>
        <v>5663.3549999999996</v>
      </c>
      <c r="L825" s="19"/>
      <c r="O825" s="2"/>
      <c r="P825" s="3"/>
      <c r="Q825" s="2"/>
      <c r="R825" s="2"/>
      <c r="S825" s="3"/>
      <c r="T825" s="3"/>
      <c r="U825" s="4"/>
      <c r="W825" s="6"/>
    </row>
    <row r="826" spans="1:23" ht="15" thickBot="1" x14ac:dyDescent="0.35">
      <c r="A826" s="2">
        <v>33</v>
      </c>
      <c r="B826" s="3" t="s">
        <v>14</v>
      </c>
      <c r="C826" s="2">
        <v>42.4</v>
      </c>
      <c r="D826" s="2">
        <v>5</v>
      </c>
      <c r="E826" s="3" t="s">
        <v>16</v>
      </c>
      <c r="F826" s="3" t="s">
        <v>8</v>
      </c>
      <c r="G826" s="4">
        <v>6666.24</v>
      </c>
      <c r="H826">
        <f t="shared" si="25"/>
        <v>6</v>
      </c>
      <c r="I826" s="6">
        <f t="shared" si="26"/>
        <v>1111.04</v>
      </c>
      <c r="L826" s="19"/>
      <c r="O826" s="2"/>
      <c r="P826" s="3"/>
      <c r="Q826" s="2"/>
      <c r="R826" s="2"/>
      <c r="S826" s="3"/>
      <c r="T826" s="3"/>
      <c r="U826" s="4"/>
      <c r="W826" s="6"/>
    </row>
    <row r="827" spans="1:23" ht="15" thickBot="1" x14ac:dyDescent="0.35">
      <c r="A827" s="2">
        <v>33</v>
      </c>
      <c r="B827" s="3" t="s">
        <v>15</v>
      </c>
      <c r="C827" s="2">
        <v>18.5</v>
      </c>
      <c r="D827" s="2">
        <v>1</v>
      </c>
      <c r="E827" s="3" t="s">
        <v>16</v>
      </c>
      <c r="F827" s="3" t="s">
        <v>8</v>
      </c>
      <c r="G827" s="4">
        <v>4766.0200000000004</v>
      </c>
      <c r="H827">
        <f t="shared" si="25"/>
        <v>2</v>
      </c>
      <c r="I827" s="6">
        <f t="shared" si="26"/>
        <v>2383.0100000000002</v>
      </c>
      <c r="L827" s="19"/>
      <c r="O827" s="2"/>
      <c r="P827" s="3"/>
      <c r="Q827" s="2"/>
      <c r="R827" s="2"/>
      <c r="S827" s="3"/>
      <c r="T827" s="3"/>
      <c r="U827" s="4"/>
      <c r="W827" s="6"/>
    </row>
    <row r="828" spans="1:23" ht="15" thickBot="1" x14ac:dyDescent="0.35">
      <c r="A828" s="2">
        <v>33</v>
      </c>
      <c r="B828" s="3" t="s">
        <v>15</v>
      </c>
      <c r="C828" s="2">
        <v>32.9</v>
      </c>
      <c r="D828" s="2">
        <v>2</v>
      </c>
      <c r="E828" s="3" t="s">
        <v>16</v>
      </c>
      <c r="F828" s="3" t="s">
        <v>8</v>
      </c>
      <c r="G828" s="4">
        <v>5375.04</v>
      </c>
      <c r="H828">
        <f t="shared" si="25"/>
        <v>3</v>
      </c>
      <c r="I828" s="6">
        <f t="shared" si="26"/>
        <v>1791.68</v>
      </c>
      <c r="L828" s="19"/>
      <c r="O828" s="2"/>
      <c r="P828" s="3"/>
      <c r="Q828" s="2"/>
      <c r="R828" s="2"/>
      <c r="S828" s="3"/>
      <c r="T828" s="3"/>
      <c r="U828" s="4"/>
      <c r="W828" s="6"/>
    </row>
    <row r="829" spans="1:23" ht="15" thickBot="1" x14ac:dyDescent="0.35">
      <c r="A829" s="2">
        <v>33</v>
      </c>
      <c r="B829" s="3" t="s">
        <v>14</v>
      </c>
      <c r="C829" s="2">
        <v>27.1</v>
      </c>
      <c r="D829" s="2">
        <v>1</v>
      </c>
      <c r="E829" s="3" t="s">
        <v>17</v>
      </c>
      <c r="F829" s="3" t="s">
        <v>8</v>
      </c>
      <c r="G829" s="4">
        <v>19040.88</v>
      </c>
      <c r="H829">
        <f t="shared" si="25"/>
        <v>2</v>
      </c>
      <c r="I829" s="6">
        <f t="shared" si="26"/>
        <v>9520.44</v>
      </c>
      <c r="L829" s="19"/>
      <c r="O829" s="2"/>
      <c r="P829" s="3"/>
      <c r="Q829" s="2"/>
      <c r="R829" s="2"/>
      <c r="S829" s="3"/>
      <c r="T829" s="3"/>
      <c r="U829" s="4"/>
      <c r="W829" s="6"/>
    </row>
    <row r="830" spans="1:23" ht="15" thickBot="1" x14ac:dyDescent="0.35">
      <c r="A830" s="2">
        <v>33</v>
      </c>
      <c r="B830" s="3" t="s">
        <v>14</v>
      </c>
      <c r="C830" s="2">
        <v>24.8</v>
      </c>
      <c r="D830" s="2">
        <v>0</v>
      </c>
      <c r="E830" s="3" t="s">
        <v>17</v>
      </c>
      <c r="F830" s="3" t="s">
        <v>9</v>
      </c>
      <c r="G830" s="4">
        <v>17904.53</v>
      </c>
      <c r="H830">
        <f t="shared" si="25"/>
        <v>1</v>
      </c>
      <c r="I830" s="6">
        <f t="shared" si="26"/>
        <v>17904.53</v>
      </c>
      <c r="L830" s="19"/>
      <c r="O830" s="2"/>
      <c r="P830" s="3"/>
      <c r="Q830" s="2"/>
      <c r="R830" s="2"/>
      <c r="S830" s="3"/>
      <c r="T830" s="3"/>
      <c r="U830" s="4"/>
      <c r="W830" s="6"/>
    </row>
    <row r="831" spans="1:23" ht="15" thickBot="1" x14ac:dyDescent="0.35">
      <c r="A831" s="2">
        <v>33</v>
      </c>
      <c r="B831" s="3" t="s">
        <v>15</v>
      </c>
      <c r="C831" s="2">
        <v>42.9</v>
      </c>
      <c r="D831" s="2">
        <v>3</v>
      </c>
      <c r="E831" s="3" t="s">
        <v>16</v>
      </c>
      <c r="F831" s="3" t="s">
        <v>7</v>
      </c>
      <c r="G831" s="4">
        <v>6360.99</v>
      </c>
      <c r="H831">
        <f t="shared" si="25"/>
        <v>4</v>
      </c>
      <c r="I831" s="6">
        <f t="shared" si="26"/>
        <v>1590.2474999999999</v>
      </c>
      <c r="L831" s="19"/>
      <c r="O831" s="2"/>
      <c r="P831" s="3"/>
      <c r="Q831" s="2"/>
      <c r="R831" s="2"/>
      <c r="S831" s="3"/>
      <c r="T831" s="3"/>
      <c r="U831" s="4"/>
      <c r="W831" s="6"/>
    </row>
    <row r="832" spans="1:23" ht="15" thickBot="1" x14ac:dyDescent="0.35">
      <c r="A832" s="2">
        <v>33</v>
      </c>
      <c r="B832" s="3" t="s">
        <v>15</v>
      </c>
      <c r="C832" s="2">
        <v>35.5</v>
      </c>
      <c r="D832" s="2">
        <v>0</v>
      </c>
      <c r="E832" s="3" t="s">
        <v>17</v>
      </c>
      <c r="F832" s="3" t="s">
        <v>7</v>
      </c>
      <c r="G832" s="4">
        <v>55135.4</v>
      </c>
      <c r="H832">
        <f t="shared" si="25"/>
        <v>1</v>
      </c>
      <c r="I832" s="6">
        <f t="shared" si="26"/>
        <v>55135.4</v>
      </c>
      <c r="L832" s="19"/>
      <c r="O832" s="2"/>
      <c r="P832" s="3"/>
      <c r="Q832" s="2"/>
      <c r="R832" s="2"/>
      <c r="S832" s="3"/>
      <c r="T832" s="3"/>
      <c r="U832" s="4"/>
      <c r="W832" s="6"/>
    </row>
    <row r="833" spans="1:23" ht="15" thickBot="1" x14ac:dyDescent="0.35">
      <c r="A833" s="2">
        <v>33</v>
      </c>
      <c r="B833" s="3" t="s">
        <v>14</v>
      </c>
      <c r="C833" s="2">
        <v>33.4</v>
      </c>
      <c r="D833" s="2">
        <v>5</v>
      </c>
      <c r="E833" s="3" t="s">
        <v>16</v>
      </c>
      <c r="F833" s="3" t="s">
        <v>10</v>
      </c>
      <c r="G833" s="4">
        <v>6653.79</v>
      </c>
      <c r="H833">
        <f t="shared" si="25"/>
        <v>6</v>
      </c>
      <c r="I833" s="6">
        <f t="shared" si="26"/>
        <v>1108.9649999999999</v>
      </c>
      <c r="L833" s="19"/>
      <c r="O833" s="2"/>
      <c r="P833" s="3"/>
      <c r="Q833" s="2"/>
      <c r="R833" s="2"/>
      <c r="S833" s="3"/>
      <c r="T833" s="3"/>
      <c r="U833" s="4"/>
      <c r="W833" s="6"/>
    </row>
    <row r="834" spans="1:23" ht="15" thickBot="1" x14ac:dyDescent="0.35">
      <c r="A834" s="2">
        <v>33</v>
      </c>
      <c r="B834" s="3" t="s">
        <v>14</v>
      </c>
      <c r="C834" s="2">
        <v>24.6</v>
      </c>
      <c r="D834" s="2">
        <v>2</v>
      </c>
      <c r="E834" s="3" t="s">
        <v>16</v>
      </c>
      <c r="F834" s="3" t="s">
        <v>7</v>
      </c>
      <c r="G834" s="4">
        <v>5257.51</v>
      </c>
      <c r="H834">
        <f t="shared" si="25"/>
        <v>3</v>
      </c>
      <c r="I834" s="6">
        <f t="shared" si="26"/>
        <v>1752.5033333333333</v>
      </c>
      <c r="L834" s="19"/>
      <c r="O834" s="2"/>
      <c r="P834" s="3"/>
      <c r="Q834" s="2"/>
      <c r="R834" s="2"/>
      <c r="S834" s="3"/>
      <c r="T834" s="3"/>
      <c r="U834" s="4"/>
      <c r="W834" s="6"/>
    </row>
    <row r="835" spans="1:23" ht="15" thickBot="1" x14ac:dyDescent="0.35">
      <c r="A835" s="2">
        <v>33</v>
      </c>
      <c r="B835" s="3" t="s">
        <v>15</v>
      </c>
      <c r="C835" s="2">
        <v>36.299999999999997</v>
      </c>
      <c r="D835" s="2">
        <v>3</v>
      </c>
      <c r="E835" s="3" t="s">
        <v>16</v>
      </c>
      <c r="F835" s="3" t="s">
        <v>9</v>
      </c>
      <c r="G835" s="4">
        <v>6551.75</v>
      </c>
      <c r="H835">
        <f t="shared" ref="H835:H898" si="27">D835+1</f>
        <v>4</v>
      </c>
      <c r="I835" s="6">
        <f t="shared" ref="I835:I898" si="28">G835/H835</f>
        <v>1637.9375</v>
      </c>
      <c r="L835" s="19"/>
      <c r="O835" s="2"/>
      <c r="P835" s="3"/>
      <c r="Q835" s="2"/>
      <c r="R835" s="2"/>
      <c r="S835" s="3"/>
      <c r="T835" s="3"/>
      <c r="U835" s="4"/>
      <c r="W835" s="6"/>
    </row>
    <row r="836" spans="1:23" ht="15" thickBot="1" x14ac:dyDescent="0.35">
      <c r="A836" s="2">
        <v>33</v>
      </c>
      <c r="B836" s="3" t="s">
        <v>15</v>
      </c>
      <c r="C836" s="2">
        <v>19.100000000000001</v>
      </c>
      <c r="D836" s="2">
        <v>2</v>
      </c>
      <c r="E836" s="3" t="s">
        <v>17</v>
      </c>
      <c r="F836" s="3" t="s">
        <v>9</v>
      </c>
      <c r="G836" s="4">
        <v>16776.3</v>
      </c>
      <c r="H836">
        <f t="shared" si="27"/>
        <v>3</v>
      </c>
      <c r="I836" s="6">
        <f t="shared" si="28"/>
        <v>5592.0999999999995</v>
      </c>
      <c r="L836" s="19"/>
      <c r="O836" s="2"/>
      <c r="P836" s="3"/>
      <c r="Q836" s="2"/>
      <c r="R836" s="2"/>
      <c r="S836" s="3"/>
      <c r="T836" s="3"/>
      <c r="U836" s="4"/>
      <c r="W836" s="6"/>
    </row>
    <row r="837" spans="1:23" ht="15" thickBot="1" x14ac:dyDescent="0.35">
      <c r="A837" s="2">
        <v>33</v>
      </c>
      <c r="B837" s="3" t="s">
        <v>14</v>
      </c>
      <c r="C837" s="2">
        <v>35.799999999999997</v>
      </c>
      <c r="D837" s="2">
        <v>1</v>
      </c>
      <c r="E837" s="3" t="s">
        <v>17</v>
      </c>
      <c r="F837" s="3" t="s">
        <v>10</v>
      </c>
      <c r="G837" s="4">
        <v>38282.75</v>
      </c>
      <c r="H837">
        <f t="shared" si="27"/>
        <v>2</v>
      </c>
      <c r="I837" s="6">
        <f t="shared" si="28"/>
        <v>19141.375</v>
      </c>
      <c r="L837" s="19"/>
      <c r="O837" s="2"/>
      <c r="P837" s="3"/>
      <c r="Q837" s="2"/>
      <c r="R837" s="2"/>
      <c r="S837" s="3"/>
      <c r="T837" s="3"/>
      <c r="U837" s="4"/>
      <c r="W837" s="6"/>
    </row>
    <row r="838" spans="1:23" ht="15" thickBot="1" x14ac:dyDescent="0.35">
      <c r="A838" s="2">
        <v>33</v>
      </c>
      <c r="B838" s="3" t="s">
        <v>14</v>
      </c>
      <c r="C838" s="2">
        <v>30.3</v>
      </c>
      <c r="D838" s="2">
        <v>0</v>
      </c>
      <c r="E838" s="3" t="s">
        <v>16</v>
      </c>
      <c r="F838" s="3" t="s">
        <v>10</v>
      </c>
      <c r="G838" s="4">
        <v>3704.35</v>
      </c>
      <c r="H838">
        <f t="shared" si="27"/>
        <v>1</v>
      </c>
      <c r="I838" s="6">
        <f t="shared" si="28"/>
        <v>3704.35</v>
      </c>
      <c r="L838" s="19"/>
      <c r="O838" s="2"/>
      <c r="P838" s="3"/>
      <c r="Q838" s="2"/>
      <c r="R838" s="2"/>
      <c r="S838" s="3"/>
      <c r="T838" s="3"/>
      <c r="U838" s="4"/>
      <c r="W838" s="6"/>
    </row>
    <row r="839" spans="1:23" ht="15" thickBot="1" x14ac:dyDescent="0.35">
      <c r="A839" s="2">
        <v>33</v>
      </c>
      <c r="B839" s="3" t="s">
        <v>15</v>
      </c>
      <c r="C839" s="2">
        <v>39.799999999999997</v>
      </c>
      <c r="D839" s="2">
        <v>1</v>
      </c>
      <c r="E839" s="3" t="s">
        <v>16</v>
      </c>
      <c r="F839" s="3" t="s">
        <v>10</v>
      </c>
      <c r="G839" s="4">
        <v>4795.66</v>
      </c>
      <c r="H839">
        <f t="shared" si="27"/>
        <v>2</v>
      </c>
      <c r="I839" s="6">
        <f t="shared" si="28"/>
        <v>2397.83</v>
      </c>
      <c r="L839" s="19"/>
      <c r="O839" s="2"/>
      <c r="P839" s="3"/>
      <c r="Q839" s="2"/>
      <c r="R839" s="2"/>
      <c r="S839" s="3"/>
      <c r="T839" s="3"/>
      <c r="U839" s="4"/>
      <c r="W839" s="6"/>
    </row>
    <row r="840" spans="1:23" ht="15" thickBot="1" x14ac:dyDescent="0.35">
      <c r="A840" s="2">
        <v>33</v>
      </c>
      <c r="B840" s="3" t="s">
        <v>14</v>
      </c>
      <c r="C840" s="2">
        <v>29.4</v>
      </c>
      <c r="D840" s="2">
        <v>4</v>
      </c>
      <c r="E840" s="3" t="s">
        <v>16</v>
      </c>
      <c r="F840" s="3" t="s">
        <v>8</v>
      </c>
      <c r="G840" s="4">
        <v>6059.17</v>
      </c>
      <c r="H840">
        <f t="shared" si="27"/>
        <v>5</v>
      </c>
      <c r="I840" s="6">
        <f t="shared" si="28"/>
        <v>1211.8340000000001</v>
      </c>
      <c r="L840" s="19"/>
      <c r="O840" s="2"/>
      <c r="P840" s="3"/>
      <c r="Q840" s="2"/>
      <c r="R840" s="2"/>
      <c r="S840" s="3"/>
      <c r="T840" s="3"/>
      <c r="U840" s="4"/>
      <c r="W840" s="6"/>
    </row>
    <row r="841" spans="1:23" ht="15" thickBot="1" x14ac:dyDescent="0.35">
      <c r="A841" s="2">
        <v>33</v>
      </c>
      <c r="B841" s="3" t="s">
        <v>14</v>
      </c>
      <c r="C841" s="2">
        <v>27.5</v>
      </c>
      <c r="D841" s="2">
        <v>2</v>
      </c>
      <c r="E841" s="3" t="s">
        <v>16</v>
      </c>
      <c r="F841" s="3" t="s">
        <v>7</v>
      </c>
      <c r="G841" s="4">
        <v>5261.47</v>
      </c>
      <c r="H841">
        <f t="shared" si="27"/>
        <v>3</v>
      </c>
      <c r="I841" s="6">
        <f t="shared" si="28"/>
        <v>1753.8233333333335</v>
      </c>
      <c r="L841" s="19"/>
      <c r="O841" s="2"/>
      <c r="P841" s="3"/>
      <c r="Q841" s="2"/>
      <c r="R841" s="2"/>
      <c r="S841" s="3"/>
      <c r="T841" s="3"/>
      <c r="U841" s="4"/>
      <c r="W841" s="6"/>
    </row>
    <row r="842" spans="1:23" ht="15" thickBot="1" x14ac:dyDescent="0.35">
      <c r="A842" s="2">
        <v>33</v>
      </c>
      <c r="B842" s="3" t="s">
        <v>15</v>
      </c>
      <c r="C842" s="2">
        <v>26.7</v>
      </c>
      <c r="D842" s="2">
        <v>0</v>
      </c>
      <c r="E842" s="3" t="s">
        <v>16</v>
      </c>
      <c r="F842" s="3" t="s">
        <v>7</v>
      </c>
      <c r="G842" s="4">
        <v>4571.41</v>
      </c>
      <c r="H842">
        <f t="shared" si="27"/>
        <v>1</v>
      </c>
      <c r="I842" s="6">
        <f t="shared" si="28"/>
        <v>4571.41</v>
      </c>
      <c r="L842" s="19"/>
      <c r="O842" s="2"/>
      <c r="P842" s="3"/>
      <c r="Q842" s="2"/>
      <c r="R842" s="2"/>
      <c r="S842" s="3"/>
      <c r="T842" s="3"/>
      <c r="U842" s="4"/>
      <c r="W842" s="6"/>
    </row>
    <row r="843" spans="1:23" ht="15" thickBot="1" x14ac:dyDescent="0.35">
      <c r="A843" s="2">
        <v>32</v>
      </c>
      <c r="B843" s="3" t="s">
        <v>14</v>
      </c>
      <c r="C843" s="2">
        <v>28.9</v>
      </c>
      <c r="D843" s="2">
        <v>0</v>
      </c>
      <c r="E843" s="3" t="s">
        <v>16</v>
      </c>
      <c r="F843" s="3" t="s">
        <v>7</v>
      </c>
      <c r="G843" s="4">
        <v>3866.86</v>
      </c>
      <c r="H843">
        <f t="shared" si="27"/>
        <v>1</v>
      </c>
      <c r="I843" s="6">
        <f t="shared" si="28"/>
        <v>3866.86</v>
      </c>
      <c r="L843" s="19"/>
      <c r="O843" s="2"/>
      <c r="P843" s="3"/>
      <c r="Q843" s="2"/>
      <c r="R843" s="2"/>
      <c r="S843" s="3"/>
      <c r="T843" s="3"/>
      <c r="U843" s="4"/>
      <c r="W843" s="6"/>
    </row>
    <row r="844" spans="1:23" ht="15" thickBot="1" x14ac:dyDescent="0.35">
      <c r="A844" s="2">
        <v>32</v>
      </c>
      <c r="B844" s="3" t="s">
        <v>15</v>
      </c>
      <c r="C844" s="2">
        <v>17.8</v>
      </c>
      <c r="D844" s="2">
        <v>2</v>
      </c>
      <c r="E844" s="3" t="s">
        <v>17</v>
      </c>
      <c r="F844" s="3" t="s">
        <v>7</v>
      </c>
      <c r="G844" s="4">
        <v>32734.19</v>
      </c>
      <c r="H844">
        <f t="shared" si="27"/>
        <v>3</v>
      </c>
      <c r="I844" s="6">
        <f t="shared" si="28"/>
        <v>10911.396666666666</v>
      </c>
      <c r="L844" s="19"/>
      <c r="O844" s="2"/>
      <c r="P844" s="3"/>
      <c r="Q844" s="2"/>
      <c r="R844" s="2"/>
      <c r="S844" s="3"/>
      <c r="T844" s="3"/>
      <c r="U844" s="4"/>
      <c r="W844" s="6"/>
    </row>
    <row r="845" spans="1:23" ht="15" thickBot="1" x14ac:dyDescent="0.35">
      <c r="A845" s="2">
        <v>32</v>
      </c>
      <c r="B845" s="3" t="s">
        <v>15</v>
      </c>
      <c r="C845" s="2">
        <v>37.1</v>
      </c>
      <c r="D845" s="2">
        <v>3</v>
      </c>
      <c r="E845" s="3" t="s">
        <v>16</v>
      </c>
      <c r="F845" s="3" t="s">
        <v>9</v>
      </c>
      <c r="G845" s="4">
        <v>6334.34</v>
      </c>
      <c r="H845">
        <f t="shared" si="27"/>
        <v>4</v>
      </c>
      <c r="I845" s="6">
        <f t="shared" si="28"/>
        <v>1583.585</v>
      </c>
      <c r="L845" s="19"/>
      <c r="O845" s="2"/>
      <c r="P845" s="3"/>
      <c r="Q845" s="2"/>
      <c r="R845" s="2"/>
      <c r="S845" s="3"/>
      <c r="T845" s="3"/>
      <c r="U845" s="4"/>
      <c r="W845" s="6"/>
    </row>
    <row r="846" spans="1:23" ht="15" thickBot="1" x14ac:dyDescent="0.35">
      <c r="A846" s="2">
        <v>32</v>
      </c>
      <c r="B846" s="3" t="s">
        <v>15</v>
      </c>
      <c r="C846" s="2">
        <v>29.8</v>
      </c>
      <c r="D846" s="2">
        <v>2</v>
      </c>
      <c r="E846" s="3" t="s">
        <v>16</v>
      </c>
      <c r="F846" s="3" t="s">
        <v>8</v>
      </c>
      <c r="G846" s="4">
        <v>5152.13</v>
      </c>
      <c r="H846">
        <f t="shared" si="27"/>
        <v>3</v>
      </c>
      <c r="I846" s="6">
        <f t="shared" si="28"/>
        <v>1717.3766666666668</v>
      </c>
      <c r="L846" s="19"/>
      <c r="O846" s="2"/>
      <c r="P846" s="3"/>
      <c r="Q846" s="2"/>
      <c r="R846" s="2"/>
      <c r="S846" s="3"/>
      <c r="T846" s="3"/>
      <c r="U846" s="4"/>
      <c r="W846" s="6"/>
    </row>
    <row r="847" spans="1:23" ht="15" thickBot="1" x14ac:dyDescent="0.35">
      <c r="A847" s="2">
        <v>32</v>
      </c>
      <c r="B847" s="3" t="s">
        <v>15</v>
      </c>
      <c r="C847" s="2">
        <v>33.200000000000003</v>
      </c>
      <c r="D847" s="2">
        <v>3</v>
      </c>
      <c r="E847" s="3" t="s">
        <v>16</v>
      </c>
      <c r="F847" s="3" t="s">
        <v>7</v>
      </c>
      <c r="G847" s="4">
        <v>6128.8</v>
      </c>
      <c r="H847">
        <f t="shared" si="27"/>
        <v>4</v>
      </c>
      <c r="I847" s="6">
        <f t="shared" si="28"/>
        <v>1532.2</v>
      </c>
      <c r="L847" s="19"/>
      <c r="O847" s="2"/>
      <c r="P847" s="3"/>
      <c r="Q847" s="2"/>
      <c r="R847" s="2"/>
      <c r="S847" s="3"/>
      <c r="T847" s="3"/>
      <c r="U847" s="4"/>
      <c r="W847" s="6"/>
    </row>
    <row r="848" spans="1:23" ht="15" thickBot="1" x14ac:dyDescent="0.35">
      <c r="A848" s="2">
        <v>32</v>
      </c>
      <c r="B848" s="3" t="s">
        <v>14</v>
      </c>
      <c r="C848" s="2">
        <v>30.8</v>
      </c>
      <c r="D848" s="2">
        <v>3</v>
      </c>
      <c r="E848" s="3" t="s">
        <v>16</v>
      </c>
      <c r="F848" s="3" t="s">
        <v>8</v>
      </c>
      <c r="G848" s="4">
        <v>5253.52</v>
      </c>
      <c r="H848">
        <f t="shared" si="27"/>
        <v>4</v>
      </c>
      <c r="I848" s="6">
        <f t="shared" si="28"/>
        <v>1313.38</v>
      </c>
      <c r="L848" s="19"/>
      <c r="O848" s="2"/>
      <c r="P848" s="3"/>
      <c r="Q848" s="2"/>
      <c r="R848" s="2"/>
      <c r="S848" s="3"/>
      <c r="T848" s="3"/>
      <c r="U848" s="4"/>
      <c r="W848" s="6"/>
    </row>
    <row r="849" spans="1:23" ht="15" thickBot="1" x14ac:dyDescent="0.35">
      <c r="A849" s="2">
        <v>32</v>
      </c>
      <c r="B849" s="3" t="s">
        <v>14</v>
      </c>
      <c r="C849" s="2">
        <v>37.299999999999997</v>
      </c>
      <c r="D849" s="2">
        <v>1</v>
      </c>
      <c r="E849" s="3" t="s">
        <v>16</v>
      </c>
      <c r="F849" s="3" t="s">
        <v>9</v>
      </c>
      <c r="G849" s="4">
        <v>4667.6099999999997</v>
      </c>
      <c r="H849">
        <f t="shared" si="27"/>
        <v>2</v>
      </c>
      <c r="I849" s="6">
        <f t="shared" si="28"/>
        <v>2333.8049999999998</v>
      </c>
      <c r="L849" s="19"/>
      <c r="O849" s="2"/>
      <c r="P849" s="3"/>
      <c r="Q849" s="2"/>
      <c r="R849" s="2"/>
      <c r="S849" s="3"/>
      <c r="T849" s="3"/>
      <c r="U849" s="4"/>
      <c r="W849" s="6"/>
    </row>
    <row r="850" spans="1:23" ht="15" thickBot="1" x14ac:dyDescent="0.35">
      <c r="A850" s="2">
        <v>32</v>
      </c>
      <c r="B850" s="3" t="s">
        <v>14</v>
      </c>
      <c r="C850" s="2">
        <v>30</v>
      </c>
      <c r="D850" s="2">
        <v>1</v>
      </c>
      <c r="E850" s="3" t="s">
        <v>16</v>
      </c>
      <c r="F850" s="3" t="s">
        <v>10</v>
      </c>
      <c r="G850" s="4">
        <v>4074.45</v>
      </c>
      <c r="H850">
        <f t="shared" si="27"/>
        <v>2</v>
      </c>
      <c r="I850" s="6">
        <f t="shared" si="28"/>
        <v>2037.2249999999999</v>
      </c>
      <c r="L850" s="19"/>
      <c r="O850" s="2"/>
      <c r="P850" s="3"/>
      <c r="Q850" s="2"/>
      <c r="R850" s="2"/>
      <c r="S850" s="3"/>
      <c r="T850" s="3"/>
      <c r="U850" s="4"/>
      <c r="W850" s="6"/>
    </row>
    <row r="851" spans="1:23" ht="15" thickBot="1" x14ac:dyDescent="0.35">
      <c r="A851" s="2">
        <v>32</v>
      </c>
      <c r="B851" s="3" t="s">
        <v>14</v>
      </c>
      <c r="C851" s="2">
        <v>46.5</v>
      </c>
      <c r="D851" s="2">
        <v>2</v>
      </c>
      <c r="E851" s="3" t="s">
        <v>16</v>
      </c>
      <c r="F851" s="3" t="s">
        <v>10</v>
      </c>
      <c r="G851" s="4">
        <v>4686.3900000000003</v>
      </c>
      <c r="H851">
        <f t="shared" si="27"/>
        <v>3</v>
      </c>
      <c r="I851" s="6">
        <f t="shared" si="28"/>
        <v>1562.13</v>
      </c>
      <c r="L851" s="19"/>
      <c r="O851" s="2"/>
      <c r="P851" s="3"/>
      <c r="Q851" s="2"/>
      <c r="R851" s="2"/>
      <c r="S851" s="3"/>
      <c r="T851" s="3"/>
      <c r="U851" s="4"/>
      <c r="W851" s="6"/>
    </row>
    <row r="852" spans="1:23" ht="15" thickBot="1" x14ac:dyDescent="0.35">
      <c r="A852" s="2">
        <v>32</v>
      </c>
      <c r="B852" s="3" t="s">
        <v>15</v>
      </c>
      <c r="C852" s="2">
        <v>44.2</v>
      </c>
      <c r="D852" s="2">
        <v>0</v>
      </c>
      <c r="E852" s="3" t="s">
        <v>16</v>
      </c>
      <c r="F852" s="3" t="s">
        <v>10</v>
      </c>
      <c r="G852" s="4">
        <v>3994.18</v>
      </c>
      <c r="H852">
        <f t="shared" si="27"/>
        <v>1</v>
      </c>
      <c r="I852" s="6">
        <f t="shared" si="28"/>
        <v>3994.18</v>
      </c>
      <c r="L852" s="19"/>
      <c r="O852" s="2"/>
      <c r="P852" s="3"/>
      <c r="Q852" s="2"/>
      <c r="R852" s="2"/>
      <c r="S852" s="3"/>
      <c r="T852" s="3"/>
      <c r="U852" s="4"/>
      <c r="W852" s="6"/>
    </row>
    <row r="853" spans="1:23" ht="15" thickBot="1" x14ac:dyDescent="0.35">
      <c r="A853" s="2">
        <v>32</v>
      </c>
      <c r="B853" s="3" t="s">
        <v>15</v>
      </c>
      <c r="C853" s="2">
        <v>28.9</v>
      </c>
      <c r="D853" s="2">
        <v>0</v>
      </c>
      <c r="E853" s="3" t="s">
        <v>16</v>
      </c>
      <c r="F853" s="3" t="s">
        <v>10</v>
      </c>
      <c r="G853" s="4">
        <v>3972.92</v>
      </c>
      <c r="H853">
        <f t="shared" si="27"/>
        <v>1</v>
      </c>
      <c r="I853" s="6">
        <f t="shared" si="28"/>
        <v>3972.92</v>
      </c>
      <c r="L853" s="19"/>
      <c r="O853" s="2"/>
      <c r="P853" s="3"/>
      <c r="Q853" s="2"/>
      <c r="R853" s="2"/>
      <c r="S853" s="3"/>
      <c r="T853" s="3"/>
      <c r="U853" s="4"/>
      <c r="W853" s="6"/>
    </row>
    <row r="854" spans="1:23" ht="15" thickBot="1" x14ac:dyDescent="0.35">
      <c r="A854" s="2">
        <v>32</v>
      </c>
      <c r="B854" s="3" t="s">
        <v>15</v>
      </c>
      <c r="C854" s="2">
        <v>23.7</v>
      </c>
      <c r="D854" s="2">
        <v>1</v>
      </c>
      <c r="E854" s="3" t="s">
        <v>16</v>
      </c>
      <c r="F854" s="3" t="s">
        <v>10</v>
      </c>
      <c r="G854" s="4">
        <v>17626.240000000002</v>
      </c>
      <c r="H854">
        <f t="shared" si="27"/>
        <v>2</v>
      </c>
      <c r="I854" s="6">
        <f t="shared" si="28"/>
        <v>8813.1200000000008</v>
      </c>
      <c r="L854" s="19"/>
      <c r="O854" s="2"/>
      <c r="P854" s="3"/>
      <c r="Q854" s="2"/>
      <c r="R854" s="2"/>
      <c r="S854" s="3"/>
      <c r="T854" s="3"/>
      <c r="U854" s="4"/>
      <c r="W854" s="6"/>
    </row>
    <row r="855" spans="1:23" ht="15" thickBot="1" x14ac:dyDescent="0.35">
      <c r="A855" s="2">
        <v>32</v>
      </c>
      <c r="B855" s="3" t="s">
        <v>15</v>
      </c>
      <c r="C855" s="2">
        <v>31.5</v>
      </c>
      <c r="D855" s="2">
        <v>1</v>
      </c>
      <c r="E855" s="3" t="s">
        <v>16</v>
      </c>
      <c r="F855" s="3" t="s">
        <v>9</v>
      </c>
      <c r="G855" s="4">
        <v>5148.55</v>
      </c>
      <c r="H855">
        <f t="shared" si="27"/>
        <v>2</v>
      </c>
      <c r="I855" s="6">
        <f t="shared" si="28"/>
        <v>2574.2750000000001</v>
      </c>
      <c r="L855" s="19"/>
      <c r="O855" s="2"/>
      <c r="P855" s="3"/>
      <c r="Q855" s="2"/>
      <c r="R855" s="2"/>
      <c r="S855" s="3"/>
      <c r="T855" s="3"/>
      <c r="U855" s="4"/>
      <c r="W855" s="6"/>
    </row>
    <row r="856" spans="1:23" ht="15" thickBot="1" x14ac:dyDescent="0.35">
      <c r="A856" s="2">
        <v>32</v>
      </c>
      <c r="B856" s="3" t="s">
        <v>14</v>
      </c>
      <c r="C856" s="2">
        <v>28.9</v>
      </c>
      <c r="D856" s="2">
        <v>1</v>
      </c>
      <c r="E856" s="3" t="s">
        <v>17</v>
      </c>
      <c r="F856" s="3" t="s">
        <v>10</v>
      </c>
      <c r="G856" s="4">
        <v>19719.689999999999</v>
      </c>
      <c r="H856">
        <f t="shared" si="27"/>
        <v>2</v>
      </c>
      <c r="I856" s="6">
        <f t="shared" si="28"/>
        <v>9859.8449999999993</v>
      </c>
      <c r="L856" s="19"/>
      <c r="O856" s="2"/>
      <c r="P856" s="3"/>
      <c r="Q856" s="2"/>
      <c r="R856" s="2"/>
      <c r="S856" s="3"/>
      <c r="T856" s="3"/>
      <c r="U856" s="4"/>
      <c r="W856" s="6"/>
    </row>
    <row r="857" spans="1:23" ht="15" thickBot="1" x14ac:dyDescent="0.35">
      <c r="A857" s="2">
        <v>32</v>
      </c>
      <c r="B857" s="3" t="s">
        <v>15</v>
      </c>
      <c r="C857" s="2">
        <v>24.6</v>
      </c>
      <c r="D857" s="2">
        <v>0</v>
      </c>
      <c r="E857" s="3" t="s">
        <v>17</v>
      </c>
      <c r="F857" s="3" t="s">
        <v>8</v>
      </c>
      <c r="G857" s="4">
        <v>17496.310000000001</v>
      </c>
      <c r="H857">
        <f t="shared" si="27"/>
        <v>1</v>
      </c>
      <c r="I857" s="6">
        <f t="shared" si="28"/>
        <v>17496.310000000001</v>
      </c>
      <c r="L857" s="19"/>
      <c r="O857" s="2"/>
      <c r="P857" s="3"/>
      <c r="Q857" s="2"/>
      <c r="R857" s="2"/>
      <c r="S857" s="3"/>
      <c r="T857" s="3"/>
      <c r="U857" s="4"/>
      <c r="W857" s="6"/>
    </row>
    <row r="858" spans="1:23" ht="15" thickBot="1" x14ac:dyDescent="0.35">
      <c r="A858" s="2">
        <v>32</v>
      </c>
      <c r="B858" s="3" t="s">
        <v>14</v>
      </c>
      <c r="C858" s="2">
        <v>37.200000000000003</v>
      </c>
      <c r="D858" s="2">
        <v>2</v>
      </c>
      <c r="E858" s="3" t="s">
        <v>16</v>
      </c>
      <c r="F858" s="3" t="s">
        <v>10</v>
      </c>
      <c r="G858" s="4">
        <v>4673.3900000000003</v>
      </c>
      <c r="H858">
        <f t="shared" si="27"/>
        <v>3</v>
      </c>
      <c r="I858" s="6">
        <f t="shared" si="28"/>
        <v>1557.7966666666669</v>
      </c>
      <c r="L858" s="19"/>
      <c r="O858" s="2"/>
      <c r="P858" s="3"/>
      <c r="Q858" s="2"/>
      <c r="R858" s="2"/>
      <c r="S858" s="3"/>
      <c r="T858" s="3"/>
      <c r="U858" s="4"/>
      <c r="W858" s="6"/>
    </row>
    <row r="859" spans="1:23" ht="15" thickBot="1" x14ac:dyDescent="0.35">
      <c r="A859" s="2">
        <v>32</v>
      </c>
      <c r="B859" s="3" t="s">
        <v>14</v>
      </c>
      <c r="C859" s="2">
        <v>33.799999999999997</v>
      </c>
      <c r="D859" s="2">
        <v>1</v>
      </c>
      <c r="E859" s="3" t="s">
        <v>16</v>
      </c>
      <c r="F859" s="3" t="s">
        <v>7</v>
      </c>
      <c r="G859" s="4">
        <v>4462.72</v>
      </c>
      <c r="H859">
        <f t="shared" si="27"/>
        <v>2</v>
      </c>
      <c r="I859" s="6">
        <f t="shared" si="28"/>
        <v>2231.36</v>
      </c>
      <c r="L859" s="19"/>
      <c r="O859" s="2"/>
      <c r="P859" s="3"/>
      <c r="Q859" s="2"/>
      <c r="R859" s="2"/>
      <c r="S859" s="3"/>
      <c r="T859" s="3"/>
      <c r="U859" s="4"/>
      <c r="W859" s="6"/>
    </row>
    <row r="860" spans="1:23" ht="15" thickBot="1" x14ac:dyDescent="0.35">
      <c r="A860" s="2">
        <v>32</v>
      </c>
      <c r="B860" s="3" t="s">
        <v>15</v>
      </c>
      <c r="C860" s="2">
        <v>29.6</v>
      </c>
      <c r="D860" s="2">
        <v>1</v>
      </c>
      <c r="E860" s="3" t="s">
        <v>16</v>
      </c>
      <c r="F860" s="3" t="s">
        <v>10</v>
      </c>
      <c r="G860" s="4">
        <v>4562.84</v>
      </c>
      <c r="H860">
        <f t="shared" si="27"/>
        <v>2</v>
      </c>
      <c r="I860" s="6">
        <f t="shared" si="28"/>
        <v>2281.42</v>
      </c>
      <c r="L860" s="19"/>
      <c r="O860" s="2"/>
      <c r="P860" s="3"/>
      <c r="Q860" s="2"/>
      <c r="R860" s="2"/>
      <c r="S860" s="3"/>
      <c r="T860" s="3"/>
      <c r="U860" s="4"/>
      <c r="W860" s="6"/>
    </row>
    <row r="861" spans="1:23" ht="15" thickBot="1" x14ac:dyDescent="0.35">
      <c r="A861" s="2">
        <v>32</v>
      </c>
      <c r="B861" s="3" t="s">
        <v>14</v>
      </c>
      <c r="C861" s="2">
        <v>27.8</v>
      </c>
      <c r="D861" s="2">
        <v>1</v>
      </c>
      <c r="E861" s="3" t="s">
        <v>16</v>
      </c>
      <c r="F861" s="3" t="s">
        <v>7</v>
      </c>
      <c r="G861" s="4">
        <v>4454.3999999999996</v>
      </c>
      <c r="H861">
        <f t="shared" si="27"/>
        <v>2</v>
      </c>
      <c r="I861" s="6">
        <f t="shared" si="28"/>
        <v>2227.1999999999998</v>
      </c>
      <c r="L861" s="19"/>
      <c r="O861" s="2"/>
      <c r="P861" s="3"/>
      <c r="Q861" s="2"/>
      <c r="R861" s="2"/>
      <c r="S861" s="3"/>
      <c r="T861" s="3"/>
      <c r="U861" s="4"/>
      <c r="W861" s="6"/>
    </row>
    <row r="862" spans="1:23" ht="15" thickBot="1" x14ac:dyDescent="0.35">
      <c r="A862" s="2">
        <v>32</v>
      </c>
      <c r="B862" s="3" t="s">
        <v>14</v>
      </c>
      <c r="C862" s="2">
        <v>31.5</v>
      </c>
      <c r="D862" s="2">
        <v>1</v>
      </c>
      <c r="E862" s="3" t="s">
        <v>16</v>
      </c>
      <c r="F862" s="3" t="s">
        <v>8</v>
      </c>
      <c r="G862" s="4">
        <v>4076.5</v>
      </c>
      <c r="H862">
        <f t="shared" si="27"/>
        <v>2</v>
      </c>
      <c r="I862" s="6">
        <f t="shared" si="28"/>
        <v>2038.25</v>
      </c>
      <c r="L862" s="19"/>
      <c r="O862" s="2"/>
      <c r="P862" s="3"/>
      <c r="Q862" s="2"/>
      <c r="R862" s="2"/>
      <c r="S862" s="3"/>
      <c r="T862" s="3"/>
      <c r="U862" s="4"/>
      <c r="W862" s="6"/>
    </row>
    <row r="863" spans="1:23" ht="15" thickBot="1" x14ac:dyDescent="0.35">
      <c r="A863" s="2">
        <v>32</v>
      </c>
      <c r="B863" s="3" t="s">
        <v>15</v>
      </c>
      <c r="C863" s="2">
        <v>41.1</v>
      </c>
      <c r="D863" s="2">
        <v>0</v>
      </c>
      <c r="E863" s="3" t="s">
        <v>16</v>
      </c>
      <c r="F863" s="3" t="s">
        <v>8</v>
      </c>
      <c r="G863" s="4">
        <v>3989.84</v>
      </c>
      <c r="H863">
        <f t="shared" si="27"/>
        <v>1</v>
      </c>
      <c r="I863" s="6">
        <f t="shared" si="28"/>
        <v>3989.84</v>
      </c>
      <c r="L863" s="19"/>
      <c r="O863" s="2"/>
      <c r="P863" s="3"/>
      <c r="Q863" s="2"/>
      <c r="R863" s="2"/>
      <c r="S863" s="3"/>
      <c r="T863" s="3"/>
      <c r="U863" s="4"/>
      <c r="W863" s="6"/>
    </row>
    <row r="864" spans="1:23" ht="15" thickBot="1" x14ac:dyDescent="0.35">
      <c r="A864" s="2">
        <v>32</v>
      </c>
      <c r="B864" s="3" t="s">
        <v>14</v>
      </c>
      <c r="C864" s="2">
        <v>35.200000000000003</v>
      </c>
      <c r="D864" s="2">
        <v>2</v>
      </c>
      <c r="E864" s="3" t="s">
        <v>16</v>
      </c>
      <c r="F864" s="3" t="s">
        <v>8</v>
      </c>
      <c r="G864" s="4">
        <v>4670.6400000000003</v>
      </c>
      <c r="H864">
        <f t="shared" si="27"/>
        <v>3</v>
      </c>
      <c r="I864" s="6">
        <f t="shared" si="28"/>
        <v>1556.88</v>
      </c>
      <c r="L864" s="19"/>
      <c r="O864" s="2"/>
      <c r="P864" s="3"/>
      <c r="Q864" s="2"/>
      <c r="R864" s="2"/>
      <c r="S864" s="3"/>
      <c r="T864" s="3"/>
      <c r="U864" s="4"/>
      <c r="W864" s="6"/>
    </row>
    <row r="865" spans="1:23" ht="15" thickBot="1" x14ac:dyDescent="0.35">
      <c r="A865" s="2">
        <v>32</v>
      </c>
      <c r="B865" s="3" t="s">
        <v>14</v>
      </c>
      <c r="C865" s="2">
        <v>33.6</v>
      </c>
      <c r="D865" s="2">
        <v>1</v>
      </c>
      <c r="E865" s="3" t="s">
        <v>17</v>
      </c>
      <c r="F865" s="3" t="s">
        <v>9</v>
      </c>
      <c r="G865" s="4">
        <v>37607.53</v>
      </c>
      <c r="H865">
        <f t="shared" si="27"/>
        <v>2</v>
      </c>
      <c r="I865" s="6">
        <f t="shared" si="28"/>
        <v>18803.764999999999</v>
      </c>
      <c r="L865" s="19"/>
      <c r="O865" s="2"/>
      <c r="P865" s="3"/>
      <c r="Q865" s="2"/>
      <c r="R865" s="2"/>
      <c r="S865" s="3"/>
      <c r="T865" s="3"/>
      <c r="U865" s="4"/>
      <c r="W865" s="6"/>
    </row>
    <row r="866" spans="1:23" ht="15" thickBot="1" x14ac:dyDescent="0.35">
      <c r="A866" s="2">
        <v>32</v>
      </c>
      <c r="B866" s="3" t="s">
        <v>15</v>
      </c>
      <c r="C866" s="2">
        <v>20.5</v>
      </c>
      <c r="D866" s="2">
        <v>0</v>
      </c>
      <c r="E866" s="3" t="s">
        <v>16</v>
      </c>
      <c r="F866" s="3" t="s">
        <v>9</v>
      </c>
      <c r="G866" s="4">
        <v>4544.2299999999996</v>
      </c>
      <c r="H866">
        <f t="shared" si="27"/>
        <v>1</v>
      </c>
      <c r="I866" s="6">
        <f t="shared" si="28"/>
        <v>4544.2299999999996</v>
      </c>
      <c r="L866" s="19"/>
      <c r="O866" s="2"/>
      <c r="P866" s="3"/>
      <c r="Q866" s="2"/>
      <c r="R866" s="2"/>
      <c r="S866" s="3"/>
      <c r="T866" s="3"/>
      <c r="U866" s="4"/>
      <c r="W866" s="6"/>
    </row>
    <row r="867" spans="1:23" ht="15" thickBot="1" x14ac:dyDescent="0.35">
      <c r="A867" s="2">
        <v>32</v>
      </c>
      <c r="B867" s="3" t="s">
        <v>15</v>
      </c>
      <c r="C867" s="2">
        <v>29.7</v>
      </c>
      <c r="D867" s="2">
        <v>0</v>
      </c>
      <c r="E867" s="3" t="s">
        <v>16</v>
      </c>
      <c r="F867" s="3" t="s">
        <v>7</v>
      </c>
      <c r="G867" s="4">
        <v>4357.04</v>
      </c>
      <c r="H867">
        <f t="shared" si="27"/>
        <v>1</v>
      </c>
      <c r="I867" s="6">
        <f t="shared" si="28"/>
        <v>4357.04</v>
      </c>
      <c r="L867" s="19"/>
      <c r="O867" s="2"/>
      <c r="P867" s="3"/>
      <c r="Q867" s="2"/>
      <c r="R867" s="2"/>
      <c r="S867" s="3"/>
      <c r="T867" s="3"/>
      <c r="U867" s="4"/>
      <c r="W867" s="6"/>
    </row>
    <row r="868" spans="1:23" ht="15" thickBot="1" x14ac:dyDescent="0.35">
      <c r="A868" s="2">
        <v>32</v>
      </c>
      <c r="B868" s="3" t="s">
        <v>14</v>
      </c>
      <c r="C868" s="2">
        <v>28.1</v>
      </c>
      <c r="D868" s="2">
        <v>4</v>
      </c>
      <c r="E868" s="3" t="s">
        <v>17</v>
      </c>
      <c r="F868" s="3" t="s">
        <v>7</v>
      </c>
      <c r="G868" s="4">
        <v>21472.48</v>
      </c>
      <c r="H868">
        <f t="shared" si="27"/>
        <v>5</v>
      </c>
      <c r="I868" s="6">
        <f t="shared" si="28"/>
        <v>4294.4960000000001</v>
      </c>
      <c r="L868" s="19"/>
      <c r="O868" s="2"/>
      <c r="P868" s="3"/>
      <c r="Q868" s="2"/>
      <c r="R868" s="2"/>
      <c r="S868" s="3"/>
      <c r="T868" s="3"/>
      <c r="U868" s="4"/>
      <c r="W868" s="6"/>
    </row>
    <row r="869" spans="1:23" ht="15" thickBot="1" x14ac:dyDescent="0.35">
      <c r="A869" s="2">
        <v>31</v>
      </c>
      <c r="B869" s="3" t="s">
        <v>15</v>
      </c>
      <c r="C869" s="2">
        <v>25.7</v>
      </c>
      <c r="D869" s="2">
        <v>0</v>
      </c>
      <c r="E869" s="3" t="s">
        <v>16</v>
      </c>
      <c r="F869" s="3" t="s">
        <v>10</v>
      </c>
      <c r="G869" s="4">
        <v>3756.62</v>
      </c>
      <c r="H869">
        <f t="shared" si="27"/>
        <v>1</v>
      </c>
      <c r="I869" s="6">
        <f t="shared" si="28"/>
        <v>3756.62</v>
      </c>
      <c r="L869" s="19"/>
      <c r="O869" s="2"/>
      <c r="P869" s="3"/>
      <c r="Q869" s="2"/>
      <c r="R869" s="2"/>
      <c r="S869" s="3"/>
      <c r="T869" s="3"/>
      <c r="U869" s="4"/>
      <c r="W869" s="6"/>
    </row>
    <row r="870" spans="1:23" ht="15" thickBot="1" x14ac:dyDescent="0.35">
      <c r="A870" s="2">
        <v>31</v>
      </c>
      <c r="B870" s="3" t="s">
        <v>14</v>
      </c>
      <c r="C870" s="2">
        <v>36.299999999999997</v>
      </c>
      <c r="D870" s="2">
        <v>2</v>
      </c>
      <c r="E870" s="3" t="s">
        <v>17</v>
      </c>
      <c r="F870" s="3" t="s">
        <v>8</v>
      </c>
      <c r="G870" s="4">
        <v>38711</v>
      </c>
      <c r="H870">
        <f t="shared" si="27"/>
        <v>3</v>
      </c>
      <c r="I870" s="6">
        <f t="shared" si="28"/>
        <v>12903.666666666666</v>
      </c>
      <c r="L870" s="19"/>
      <c r="O870" s="2"/>
      <c r="P870" s="3"/>
      <c r="Q870" s="2"/>
      <c r="R870" s="2"/>
      <c r="S870" s="3"/>
      <c r="T870" s="3"/>
      <c r="U870" s="4"/>
      <c r="W870" s="6"/>
    </row>
    <row r="871" spans="1:23" ht="15" thickBot="1" x14ac:dyDescent="0.35">
      <c r="A871" s="2">
        <v>31</v>
      </c>
      <c r="B871" s="3" t="s">
        <v>15</v>
      </c>
      <c r="C871" s="2">
        <v>36.6</v>
      </c>
      <c r="D871" s="2">
        <v>2</v>
      </c>
      <c r="E871" s="3" t="s">
        <v>16</v>
      </c>
      <c r="F871" s="3" t="s">
        <v>10</v>
      </c>
      <c r="G871" s="4">
        <v>4949.76</v>
      </c>
      <c r="H871">
        <f t="shared" si="27"/>
        <v>3</v>
      </c>
      <c r="I871" s="6">
        <f t="shared" si="28"/>
        <v>1649.92</v>
      </c>
      <c r="L871" s="19"/>
      <c r="O871" s="2"/>
      <c r="P871" s="3"/>
      <c r="Q871" s="2"/>
      <c r="R871" s="2"/>
      <c r="S871" s="3"/>
      <c r="T871" s="3"/>
      <c r="U871" s="4"/>
      <c r="W871" s="6"/>
    </row>
    <row r="872" spans="1:23" ht="15" thickBot="1" x14ac:dyDescent="0.35">
      <c r="A872" s="2">
        <v>31</v>
      </c>
      <c r="B872" s="3" t="s">
        <v>14</v>
      </c>
      <c r="C872" s="2">
        <v>28.5</v>
      </c>
      <c r="D872" s="2">
        <v>5</v>
      </c>
      <c r="E872" s="3" t="s">
        <v>16</v>
      </c>
      <c r="F872" s="3" t="s">
        <v>9</v>
      </c>
      <c r="G872" s="4">
        <v>6799.46</v>
      </c>
      <c r="H872">
        <f t="shared" si="27"/>
        <v>6</v>
      </c>
      <c r="I872" s="6">
        <f t="shared" si="28"/>
        <v>1133.2433333333333</v>
      </c>
      <c r="L872" s="19"/>
      <c r="O872" s="2"/>
      <c r="P872" s="3"/>
      <c r="Q872" s="2"/>
      <c r="R872" s="2"/>
      <c r="S872" s="3"/>
      <c r="T872" s="3"/>
      <c r="U872" s="4"/>
      <c r="W872" s="6"/>
    </row>
    <row r="873" spans="1:23" ht="15" thickBot="1" x14ac:dyDescent="0.35">
      <c r="A873" s="2">
        <v>31</v>
      </c>
      <c r="B873" s="3" t="s">
        <v>14</v>
      </c>
      <c r="C873" s="2">
        <v>26.9</v>
      </c>
      <c r="D873" s="2">
        <v>1</v>
      </c>
      <c r="E873" s="3" t="s">
        <v>16</v>
      </c>
      <c r="F873" s="3" t="s">
        <v>9</v>
      </c>
      <c r="G873" s="4">
        <v>4441.21</v>
      </c>
      <c r="H873">
        <f t="shared" si="27"/>
        <v>2</v>
      </c>
      <c r="I873" s="6">
        <f t="shared" si="28"/>
        <v>2220.605</v>
      </c>
      <c r="L873" s="19"/>
      <c r="O873" s="2"/>
      <c r="P873" s="3"/>
      <c r="Q873" s="2"/>
      <c r="R873" s="2"/>
      <c r="S873" s="3"/>
      <c r="T873" s="3"/>
      <c r="U873" s="4"/>
      <c r="W873" s="6"/>
    </row>
    <row r="874" spans="1:23" ht="15" thickBot="1" x14ac:dyDescent="0.35">
      <c r="A874" s="2">
        <v>31</v>
      </c>
      <c r="B874" s="3" t="s">
        <v>14</v>
      </c>
      <c r="C874" s="2">
        <v>38.4</v>
      </c>
      <c r="D874" s="2">
        <v>2</v>
      </c>
      <c r="E874" s="3" t="s">
        <v>16</v>
      </c>
      <c r="F874" s="3" t="s">
        <v>10</v>
      </c>
      <c r="G874" s="4">
        <v>4463.21</v>
      </c>
      <c r="H874">
        <f t="shared" si="27"/>
        <v>3</v>
      </c>
      <c r="I874" s="6">
        <f t="shared" si="28"/>
        <v>1487.7366666666667</v>
      </c>
      <c r="L874" s="19"/>
      <c r="O874" s="2"/>
      <c r="P874" s="3"/>
      <c r="Q874" s="2"/>
      <c r="R874" s="2"/>
      <c r="S874" s="3"/>
      <c r="T874" s="3"/>
      <c r="U874" s="4"/>
      <c r="W874" s="6"/>
    </row>
    <row r="875" spans="1:23" ht="15" thickBot="1" x14ac:dyDescent="0.35">
      <c r="A875" s="2">
        <v>31</v>
      </c>
      <c r="B875" s="3" t="s">
        <v>14</v>
      </c>
      <c r="C875" s="2">
        <v>34.4</v>
      </c>
      <c r="D875" s="2">
        <v>3</v>
      </c>
      <c r="E875" s="3" t="s">
        <v>17</v>
      </c>
      <c r="F875" s="3" t="s">
        <v>7</v>
      </c>
      <c r="G875" s="4">
        <v>38746.36</v>
      </c>
      <c r="H875">
        <f t="shared" si="27"/>
        <v>4</v>
      </c>
      <c r="I875" s="6">
        <f t="shared" si="28"/>
        <v>9686.59</v>
      </c>
      <c r="L875" s="19"/>
      <c r="O875" s="2"/>
      <c r="P875" s="3"/>
      <c r="Q875" s="2"/>
      <c r="R875" s="2"/>
      <c r="S875" s="3"/>
      <c r="T875" s="3"/>
      <c r="U875" s="4"/>
      <c r="W875" s="6"/>
    </row>
    <row r="876" spans="1:23" ht="15" thickBot="1" x14ac:dyDescent="0.35">
      <c r="A876" s="2">
        <v>31</v>
      </c>
      <c r="B876" s="3" t="s">
        <v>14</v>
      </c>
      <c r="C876" s="2">
        <v>20.399999999999999</v>
      </c>
      <c r="D876" s="2">
        <v>0</v>
      </c>
      <c r="E876" s="3" t="s">
        <v>16</v>
      </c>
      <c r="F876" s="3" t="s">
        <v>8</v>
      </c>
      <c r="G876" s="4">
        <v>3260.2</v>
      </c>
      <c r="H876">
        <f t="shared" si="27"/>
        <v>1</v>
      </c>
      <c r="I876" s="6">
        <f t="shared" si="28"/>
        <v>3260.2</v>
      </c>
      <c r="L876" s="19"/>
      <c r="O876" s="2"/>
      <c r="P876" s="3"/>
      <c r="Q876" s="2"/>
      <c r="R876" s="2"/>
      <c r="S876" s="3"/>
      <c r="T876" s="3"/>
      <c r="U876" s="4"/>
      <c r="W876" s="6"/>
    </row>
    <row r="877" spans="1:23" ht="15" thickBot="1" x14ac:dyDescent="0.35">
      <c r="A877" s="2">
        <v>31</v>
      </c>
      <c r="B877" s="3" t="s">
        <v>14</v>
      </c>
      <c r="C877" s="2">
        <v>28.6</v>
      </c>
      <c r="D877" s="2">
        <v>1</v>
      </c>
      <c r="E877" s="3" t="s">
        <v>16</v>
      </c>
      <c r="F877" s="3" t="s">
        <v>7</v>
      </c>
      <c r="G877" s="4">
        <v>4243.59</v>
      </c>
      <c r="H877">
        <f t="shared" si="27"/>
        <v>2</v>
      </c>
      <c r="I877" s="6">
        <f t="shared" si="28"/>
        <v>2121.7950000000001</v>
      </c>
      <c r="L877" s="19"/>
      <c r="O877" s="2"/>
      <c r="P877" s="3"/>
      <c r="Q877" s="2"/>
      <c r="R877" s="2"/>
      <c r="S877" s="3"/>
      <c r="T877" s="3"/>
      <c r="U877" s="4"/>
      <c r="W877" s="6"/>
    </row>
    <row r="878" spans="1:23" ht="15" thickBot="1" x14ac:dyDescent="0.35">
      <c r="A878" s="2">
        <v>31</v>
      </c>
      <c r="B878" s="3" t="s">
        <v>15</v>
      </c>
      <c r="C878" s="2">
        <v>32.700000000000003</v>
      </c>
      <c r="D878" s="2">
        <v>1</v>
      </c>
      <c r="E878" s="3" t="s">
        <v>16</v>
      </c>
      <c r="F878" s="3" t="s">
        <v>7</v>
      </c>
      <c r="G878" s="4">
        <v>4738.2700000000004</v>
      </c>
      <c r="H878">
        <f t="shared" si="27"/>
        <v>2</v>
      </c>
      <c r="I878" s="6">
        <f t="shared" si="28"/>
        <v>2369.1350000000002</v>
      </c>
      <c r="L878" s="19"/>
      <c r="O878" s="2"/>
      <c r="P878" s="3"/>
      <c r="Q878" s="2"/>
      <c r="R878" s="2"/>
      <c r="S878" s="3"/>
      <c r="T878" s="3"/>
      <c r="U878" s="4"/>
      <c r="W878" s="6"/>
    </row>
    <row r="879" spans="1:23" ht="15" thickBot="1" x14ac:dyDescent="0.35">
      <c r="A879" s="2">
        <v>31</v>
      </c>
      <c r="B879" s="3" t="s">
        <v>15</v>
      </c>
      <c r="C879" s="2">
        <v>31.1</v>
      </c>
      <c r="D879" s="2">
        <v>0</v>
      </c>
      <c r="E879" s="3" t="s">
        <v>16</v>
      </c>
      <c r="F879" s="3" t="s">
        <v>9</v>
      </c>
      <c r="G879" s="4">
        <v>4347.0200000000004</v>
      </c>
      <c r="H879">
        <f t="shared" si="27"/>
        <v>1</v>
      </c>
      <c r="I879" s="6">
        <f t="shared" si="28"/>
        <v>4347.0200000000004</v>
      </c>
      <c r="L879" s="19"/>
      <c r="O879" s="2"/>
      <c r="P879" s="3"/>
      <c r="Q879" s="2"/>
      <c r="R879" s="2"/>
      <c r="S879" s="3"/>
      <c r="T879" s="3"/>
      <c r="U879" s="4"/>
      <c r="W879" s="6"/>
    </row>
    <row r="880" spans="1:23" ht="15" thickBot="1" x14ac:dyDescent="0.35">
      <c r="A880" s="2">
        <v>31</v>
      </c>
      <c r="B880" s="3" t="s">
        <v>15</v>
      </c>
      <c r="C880" s="2">
        <v>23.6</v>
      </c>
      <c r="D880" s="2">
        <v>2</v>
      </c>
      <c r="E880" s="3" t="s">
        <v>16</v>
      </c>
      <c r="F880" s="3" t="s">
        <v>8</v>
      </c>
      <c r="G880" s="4">
        <v>4931.6499999999996</v>
      </c>
      <c r="H880">
        <f t="shared" si="27"/>
        <v>3</v>
      </c>
      <c r="I880" s="6">
        <f t="shared" si="28"/>
        <v>1643.8833333333332</v>
      </c>
      <c r="L880" s="19"/>
      <c r="O880" s="2"/>
      <c r="P880" s="3"/>
      <c r="Q880" s="2"/>
      <c r="R880" s="2"/>
      <c r="S880" s="3"/>
      <c r="T880" s="3"/>
      <c r="U880" s="4"/>
      <c r="W880" s="6"/>
    </row>
    <row r="881" spans="1:23" ht="15" thickBot="1" x14ac:dyDescent="0.35">
      <c r="A881" s="2">
        <v>31</v>
      </c>
      <c r="B881" s="3" t="s">
        <v>14</v>
      </c>
      <c r="C881" s="2">
        <v>30.9</v>
      </c>
      <c r="D881" s="2">
        <v>0</v>
      </c>
      <c r="E881" s="3" t="s">
        <v>16</v>
      </c>
      <c r="F881" s="3" t="s">
        <v>9</v>
      </c>
      <c r="G881" s="4">
        <v>3857.76</v>
      </c>
      <c r="H881">
        <f t="shared" si="27"/>
        <v>1</v>
      </c>
      <c r="I881" s="6">
        <f t="shared" si="28"/>
        <v>3857.76</v>
      </c>
      <c r="L881" s="19"/>
      <c r="O881" s="2"/>
      <c r="P881" s="3"/>
      <c r="Q881" s="2"/>
      <c r="R881" s="2"/>
      <c r="S881" s="3"/>
      <c r="T881" s="3"/>
      <c r="U881" s="4"/>
      <c r="W881" s="6"/>
    </row>
    <row r="882" spans="1:23" ht="15" thickBot="1" x14ac:dyDescent="0.35">
      <c r="A882" s="2">
        <v>31</v>
      </c>
      <c r="B882" s="3" t="s">
        <v>15</v>
      </c>
      <c r="C882" s="2">
        <v>29.1</v>
      </c>
      <c r="D882" s="2">
        <v>0</v>
      </c>
      <c r="E882" s="3" t="s">
        <v>16</v>
      </c>
      <c r="F882" s="3" t="s">
        <v>8</v>
      </c>
      <c r="G882" s="4">
        <v>3761.29</v>
      </c>
      <c r="H882">
        <f t="shared" si="27"/>
        <v>1</v>
      </c>
      <c r="I882" s="6">
        <f t="shared" si="28"/>
        <v>3761.29</v>
      </c>
      <c r="L882" s="19"/>
      <c r="O882" s="2"/>
      <c r="P882" s="3"/>
      <c r="Q882" s="2"/>
      <c r="R882" s="2"/>
      <c r="S882" s="3"/>
      <c r="T882" s="3"/>
      <c r="U882" s="4"/>
      <c r="W882" s="6"/>
    </row>
    <row r="883" spans="1:23" ht="15" thickBot="1" x14ac:dyDescent="0.35">
      <c r="A883" s="2">
        <v>31</v>
      </c>
      <c r="B883" s="3" t="s">
        <v>15</v>
      </c>
      <c r="C883" s="2">
        <v>38.1</v>
      </c>
      <c r="D883" s="2">
        <v>1</v>
      </c>
      <c r="E883" s="3" t="s">
        <v>17</v>
      </c>
      <c r="F883" s="3" t="s">
        <v>9</v>
      </c>
      <c r="G883" s="4">
        <v>58571.07</v>
      </c>
      <c r="H883">
        <f t="shared" si="27"/>
        <v>2</v>
      </c>
      <c r="I883" s="6">
        <f t="shared" si="28"/>
        <v>29285.535</v>
      </c>
      <c r="L883" s="19"/>
      <c r="O883" s="2"/>
      <c r="P883" s="3"/>
      <c r="Q883" s="2"/>
      <c r="R883" s="2"/>
      <c r="S883" s="3"/>
      <c r="T883" s="3"/>
      <c r="U883" s="4"/>
      <c r="W883" s="6"/>
    </row>
    <row r="884" spans="1:23" ht="15" thickBot="1" x14ac:dyDescent="0.35">
      <c r="A884" s="2">
        <v>31</v>
      </c>
      <c r="B884" s="3" t="s">
        <v>15</v>
      </c>
      <c r="C884" s="2">
        <v>30.5</v>
      </c>
      <c r="D884" s="2">
        <v>3</v>
      </c>
      <c r="E884" s="3" t="s">
        <v>16</v>
      </c>
      <c r="F884" s="3" t="s">
        <v>9</v>
      </c>
      <c r="G884" s="4">
        <v>6113.23</v>
      </c>
      <c r="H884">
        <f t="shared" si="27"/>
        <v>4</v>
      </c>
      <c r="I884" s="6">
        <f t="shared" si="28"/>
        <v>1528.3074999999999</v>
      </c>
      <c r="L884" s="19"/>
      <c r="O884" s="2"/>
      <c r="P884" s="3"/>
      <c r="Q884" s="2"/>
      <c r="R884" s="2"/>
      <c r="S884" s="3"/>
      <c r="T884" s="3"/>
      <c r="U884" s="4"/>
      <c r="W884" s="6"/>
    </row>
    <row r="885" spans="1:23" ht="15" thickBot="1" x14ac:dyDescent="0.35">
      <c r="A885" s="2">
        <v>31</v>
      </c>
      <c r="B885" s="3" t="s">
        <v>15</v>
      </c>
      <c r="C885" s="2">
        <v>26.6</v>
      </c>
      <c r="D885" s="2">
        <v>0</v>
      </c>
      <c r="E885" s="3" t="s">
        <v>16</v>
      </c>
      <c r="F885" s="3" t="s">
        <v>10</v>
      </c>
      <c r="G885" s="4">
        <v>3757.84</v>
      </c>
      <c r="H885">
        <f t="shared" si="27"/>
        <v>1</v>
      </c>
      <c r="I885" s="6">
        <f t="shared" si="28"/>
        <v>3757.84</v>
      </c>
      <c r="L885" s="19"/>
      <c r="O885" s="2"/>
      <c r="P885" s="3"/>
      <c r="Q885" s="2"/>
      <c r="R885" s="2"/>
      <c r="S885" s="3"/>
      <c r="T885" s="3"/>
      <c r="U885" s="4"/>
      <c r="W885" s="6"/>
    </row>
    <row r="886" spans="1:23" ht="15" thickBot="1" x14ac:dyDescent="0.35">
      <c r="A886" s="2">
        <v>31</v>
      </c>
      <c r="B886" s="3" t="s">
        <v>14</v>
      </c>
      <c r="C886" s="2">
        <v>27.6</v>
      </c>
      <c r="D886" s="2">
        <v>2</v>
      </c>
      <c r="E886" s="3" t="s">
        <v>16</v>
      </c>
      <c r="F886" s="3" t="s">
        <v>9</v>
      </c>
      <c r="G886" s="4">
        <v>5031.2700000000004</v>
      </c>
      <c r="H886">
        <f t="shared" si="27"/>
        <v>3</v>
      </c>
      <c r="I886" s="6">
        <f t="shared" si="28"/>
        <v>1677.0900000000001</v>
      </c>
      <c r="L886" s="19"/>
      <c r="O886" s="2"/>
      <c r="P886" s="3"/>
      <c r="Q886" s="2"/>
      <c r="R886" s="2"/>
      <c r="S886" s="3"/>
      <c r="T886" s="3"/>
      <c r="U886" s="4"/>
      <c r="W886" s="6"/>
    </row>
    <row r="887" spans="1:23" ht="15" thickBot="1" x14ac:dyDescent="0.35">
      <c r="A887" s="2">
        <v>31</v>
      </c>
      <c r="B887" s="3" t="s">
        <v>15</v>
      </c>
      <c r="C887" s="2">
        <v>29.3</v>
      </c>
      <c r="D887" s="2">
        <v>1</v>
      </c>
      <c r="E887" s="3" t="s">
        <v>16</v>
      </c>
      <c r="F887" s="3" t="s">
        <v>10</v>
      </c>
      <c r="G887" s="4">
        <v>4350.51</v>
      </c>
      <c r="H887">
        <f t="shared" si="27"/>
        <v>2</v>
      </c>
      <c r="I887" s="6">
        <f t="shared" si="28"/>
        <v>2175.2550000000001</v>
      </c>
      <c r="L887" s="19"/>
      <c r="O887" s="2"/>
      <c r="P887" s="3"/>
      <c r="Q887" s="2"/>
      <c r="R887" s="2"/>
      <c r="S887" s="3"/>
      <c r="T887" s="3"/>
      <c r="U887" s="4"/>
      <c r="W887" s="6"/>
    </row>
    <row r="888" spans="1:23" ht="15" thickBot="1" x14ac:dyDescent="0.35">
      <c r="A888" s="2">
        <v>31</v>
      </c>
      <c r="B888" s="3" t="s">
        <v>14</v>
      </c>
      <c r="C888" s="2">
        <v>39.5</v>
      </c>
      <c r="D888" s="2">
        <v>1</v>
      </c>
      <c r="E888" s="3" t="s">
        <v>16</v>
      </c>
      <c r="F888" s="3" t="s">
        <v>10</v>
      </c>
      <c r="G888" s="4">
        <v>3875.73</v>
      </c>
      <c r="H888">
        <f t="shared" si="27"/>
        <v>2</v>
      </c>
      <c r="I888" s="6">
        <f t="shared" si="28"/>
        <v>1937.865</v>
      </c>
      <c r="L888" s="19"/>
      <c r="O888" s="2"/>
      <c r="P888" s="3"/>
      <c r="Q888" s="2"/>
      <c r="R888" s="2"/>
      <c r="S888" s="3"/>
      <c r="T888" s="3"/>
      <c r="U888" s="4"/>
      <c r="W888" s="6"/>
    </row>
    <row r="889" spans="1:23" ht="15" thickBot="1" x14ac:dyDescent="0.35">
      <c r="A889" s="2">
        <v>31</v>
      </c>
      <c r="B889" s="3" t="s">
        <v>14</v>
      </c>
      <c r="C889" s="2">
        <v>25.9</v>
      </c>
      <c r="D889" s="2">
        <v>3</v>
      </c>
      <c r="E889" s="3" t="s">
        <v>17</v>
      </c>
      <c r="F889" s="3" t="s">
        <v>8</v>
      </c>
      <c r="G889" s="4">
        <v>19199.939999999999</v>
      </c>
      <c r="H889">
        <f t="shared" si="27"/>
        <v>4</v>
      </c>
      <c r="I889" s="6">
        <f t="shared" si="28"/>
        <v>4799.9849999999997</v>
      </c>
      <c r="L889" s="19"/>
      <c r="O889" s="2"/>
      <c r="P889" s="3"/>
      <c r="Q889" s="2"/>
      <c r="R889" s="2"/>
      <c r="S889" s="3"/>
      <c r="T889" s="3"/>
      <c r="U889" s="4"/>
      <c r="W889" s="6"/>
    </row>
    <row r="890" spans="1:23" ht="15" thickBot="1" x14ac:dyDescent="0.35">
      <c r="A890" s="2">
        <v>31</v>
      </c>
      <c r="B890" s="3" t="s">
        <v>14</v>
      </c>
      <c r="C890" s="2">
        <v>29.8</v>
      </c>
      <c r="D890" s="2">
        <v>0</v>
      </c>
      <c r="E890" s="3" t="s">
        <v>17</v>
      </c>
      <c r="F890" s="3" t="s">
        <v>10</v>
      </c>
      <c r="G890" s="4">
        <v>19350.37</v>
      </c>
      <c r="H890">
        <f t="shared" si="27"/>
        <v>1</v>
      </c>
      <c r="I890" s="6">
        <f t="shared" si="28"/>
        <v>19350.37</v>
      </c>
      <c r="L890" s="19"/>
      <c r="O890" s="2"/>
      <c r="P890" s="3"/>
      <c r="Q890" s="2"/>
      <c r="R890" s="2"/>
      <c r="S890" s="3"/>
      <c r="T890" s="3"/>
      <c r="U890" s="4"/>
      <c r="W890" s="6"/>
    </row>
    <row r="891" spans="1:23" ht="15" thickBot="1" x14ac:dyDescent="0.35">
      <c r="A891" s="2">
        <v>31</v>
      </c>
      <c r="B891" s="3" t="s">
        <v>15</v>
      </c>
      <c r="C891" s="2">
        <v>32.799999999999997</v>
      </c>
      <c r="D891" s="2">
        <v>2</v>
      </c>
      <c r="E891" s="3" t="s">
        <v>16</v>
      </c>
      <c r="F891" s="3" t="s">
        <v>7</v>
      </c>
      <c r="G891" s="4">
        <v>5327.4</v>
      </c>
      <c r="H891">
        <f t="shared" si="27"/>
        <v>3</v>
      </c>
      <c r="I891" s="6">
        <f t="shared" si="28"/>
        <v>1775.8</v>
      </c>
      <c r="L891" s="19"/>
      <c r="O891" s="2"/>
      <c r="P891" s="3"/>
      <c r="Q891" s="2"/>
      <c r="R891" s="2"/>
      <c r="S891" s="3"/>
      <c r="T891" s="3"/>
      <c r="U891" s="4"/>
      <c r="W891" s="6"/>
    </row>
    <row r="892" spans="1:23" ht="15" thickBot="1" x14ac:dyDescent="0.35">
      <c r="A892" s="2">
        <v>31</v>
      </c>
      <c r="B892" s="3" t="s">
        <v>15</v>
      </c>
      <c r="C892" s="2">
        <v>21.8</v>
      </c>
      <c r="D892" s="2">
        <v>0</v>
      </c>
      <c r="E892" s="3" t="s">
        <v>16</v>
      </c>
      <c r="F892" s="3" t="s">
        <v>7</v>
      </c>
      <c r="G892" s="4">
        <v>4134.08</v>
      </c>
      <c r="H892">
        <f t="shared" si="27"/>
        <v>1</v>
      </c>
      <c r="I892" s="6">
        <f t="shared" si="28"/>
        <v>4134.08</v>
      </c>
      <c r="L892" s="19"/>
      <c r="O892" s="2"/>
      <c r="P892" s="3"/>
      <c r="Q892" s="2"/>
      <c r="R892" s="2"/>
      <c r="S892" s="3"/>
      <c r="T892" s="3"/>
      <c r="U892" s="4"/>
      <c r="W892" s="6"/>
    </row>
    <row r="893" spans="1:23" ht="15" thickBot="1" x14ac:dyDescent="0.35">
      <c r="A893" s="2">
        <v>31</v>
      </c>
      <c r="B893" s="3" t="s">
        <v>15</v>
      </c>
      <c r="C893" s="2">
        <v>25.8</v>
      </c>
      <c r="D893" s="2">
        <v>2</v>
      </c>
      <c r="E893" s="3" t="s">
        <v>16</v>
      </c>
      <c r="F893" s="3" t="s">
        <v>8</v>
      </c>
      <c r="G893" s="4">
        <v>4934.71</v>
      </c>
      <c r="H893">
        <f t="shared" si="27"/>
        <v>3</v>
      </c>
      <c r="I893" s="6">
        <f t="shared" si="28"/>
        <v>1644.9033333333334</v>
      </c>
      <c r="L893" s="19"/>
      <c r="O893" s="2"/>
      <c r="P893" s="3"/>
      <c r="Q893" s="2"/>
      <c r="R893" s="2"/>
      <c r="S893" s="3"/>
      <c r="T893" s="3"/>
      <c r="U893" s="4"/>
      <c r="W893" s="6"/>
    </row>
    <row r="894" spans="1:23" ht="15" thickBot="1" x14ac:dyDescent="0.35">
      <c r="A894" s="2">
        <v>31</v>
      </c>
      <c r="B894" s="3" t="s">
        <v>14</v>
      </c>
      <c r="C894" s="2">
        <v>31.1</v>
      </c>
      <c r="D894" s="2">
        <v>3</v>
      </c>
      <c r="E894" s="3" t="s">
        <v>16</v>
      </c>
      <c r="F894" s="3" t="s">
        <v>7</v>
      </c>
      <c r="G894" s="4">
        <v>5425.02</v>
      </c>
      <c r="H894">
        <f t="shared" si="27"/>
        <v>4</v>
      </c>
      <c r="I894" s="6">
        <f t="shared" si="28"/>
        <v>1356.2550000000001</v>
      </c>
      <c r="L894" s="19"/>
      <c r="O894" s="2"/>
      <c r="P894" s="3"/>
      <c r="Q894" s="2"/>
      <c r="R894" s="2"/>
      <c r="S894" s="3"/>
      <c r="T894" s="3"/>
      <c r="U894" s="4"/>
      <c r="W894" s="6"/>
    </row>
    <row r="895" spans="1:23" ht="15" thickBot="1" x14ac:dyDescent="0.35">
      <c r="A895" s="2">
        <v>31</v>
      </c>
      <c r="B895" s="3" t="s">
        <v>14</v>
      </c>
      <c r="C895" s="2">
        <v>25.9</v>
      </c>
      <c r="D895" s="2">
        <v>1</v>
      </c>
      <c r="E895" s="3" t="s">
        <v>16</v>
      </c>
      <c r="F895" s="3" t="s">
        <v>7</v>
      </c>
      <c r="G895" s="4">
        <v>4239.8900000000003</v>
      </c>
      <c r="H895">
        <f t="shared" si="27"/>
        <v>2</v>
      </c>
      <c r="I895" s="6">
        <f t="shared" si="28"/>
        <v>2119.9450000000002</v>
      </c>
      <c r="L895" s="19"/>
      <c r="O895" s="2"/>
      <c r="P895" s="3"/>
      <c r="Q895" s="2"/>
      <c r="R895" s="2"/>
      <c r="S895" s="3"/>
      <c r="T895" s="3"/>
      <c r="U895" s="4"/>
      <c r="W895" s="6"/>
    </row>
    <row r="896" spans="1:23" ht="15" thickBot="1" x14ac:dyDescent="0.35">
      <c r="A896" s="2">
        <v>30</v>
      </c>
      <c r="B896" s="3" t="s">
        <v>14</v>
      </c>
      <c r="C896" s="2">
        <v>35.299999999999997</v>
      </c>
      <c r="D896" s="2">
        <v>0</v>
      </c>
      <c r="E896" s="3" t="s">
        <v>17</v>
      </c>
      <c r="F896" s="3" t="s">
        <v>8</v>
      </c>
      <c r="G896" s="4">
        <v>36837.47</v>
      </c>
      <c r="H896">
        <f t="shared" si="27"/>
        <v>1</v>
      </c>
      <c r="I896" s="6">
        <f t="shared" si="28"/>
        <v>36837.47</v>
      </c>
      <c r="L896" s="19"/>
      <c r="O896" s="2"/>
      <c r="P896" s="3"/>
      <c r="Q896" s="2"/>
      <c r="R896" s="2"/>
      <c r="S896" s="3"/>
      <c r="T896" s="3"/>
      <c r="U896" s="4"/>
      <c r="W896" s="6"/>
    </row>
    <row r="897" spans="1:23" ht="15" thickBot="1" x14ac:dyDescent="0.35">
      <c r="A897" s="2">
        <v>30</v>
      </c>
      <c r="B897" s="3" t="s">
        <v>15</v>
      </c>
      <c r="C897" s="2">
        <v>32.4</v>
      </c>
      <c r="D897" s="2">
        <v>1</v>
      </c>
      <c r="E897" s="3" t="s">
        <v>16</v>
      </c>
      <c r="F897" s="3" t="s">
        <v>8</v>
      </c>
      <c r="G897" s="4">
        <v>4149.74</v>
      </c>
      <c r="H897">
        <f t="shared" si="27"/>
        <v>2</v>
      </c>
      <c r="I897" s="6">
        <f t="shared" si="28"/>
        <v>2074.87</v>
      </c>
      <c r="L897" s="19"/>
      <c r="O897" s="2"/>
      <c r="P897" s="3"/>
      <c r="Q897" s="2"/>
      <c r="R897" s="2"/>
      <c r="S897" s="3"/>
      <c r="T897" s="3"/>
      <c r="U897" s="4"/>
      <c r="W897" s="6"/>
    </row>
    <row r="898" spans="1:23" ht="15" thickBot="1" x14ac:dyDescent="0.35">
      <c r="A898" s="2">
        <v>30</v>
      </c>
      <c r="B898" s="3" t="s">
        <v>14</v>
      </c>
      <c r="C898" s="2">
        <v>25.5</v>
      </c>
      <c r="D898" s="2">
        <v>0</v>
      </c>
      <c r="E898" s="3" t="s">
        <v>16</v>
      </c>
      <c r="F898" s="3" t="s">
        <v>9</v>
      </c>
      <c r="G898" s="4">
        <v>3645.09</v>
      </c>
      <c r="H898">
        <f t="shared" si="27"/>
        <v>1</v>
      </c>
      <c r="I898" s="6">
        <f t="shared" si="28"/>
        <v>3645.09</v>
      </c>
      <c r="L898" s="19"/>
      <c r="O898" s="2"/>
      <c r="P898" s="3"/>
      <c r="Q898" s="2"/>
      <c r="R898" s="2"/>
      <c r="S898" s="3"/>
      <c r="T898" s="3"/>
      <c r="U898" s="4"/>
      <c r="W898" s="6"/>
    </row>
    <row r="899" spans="1:23" ht="15" thickBot="1" x14ac:dyDescent="0.35">
      <c r="A899" s="2">
        <v>30</v>
      </c>
      <c r="B899" s="3" t="s">
        <v>14</v>
      </c>
      <c r="C899" s="2">
        <v>28.7</v>
      </c>
      <c r="D899" s="2">
        <v>3</v>
      </c>
      <c r="E899" s="3" t="s">
        <v>17</v>
      </c>
      <c r="F899" s="3" t="s">
        <v>7</v>
      </c>
      <c r="G899" s="4">
        <v>20745.990000000002</v>
      </c>
      <c r="H899">
        <f t="shared" ref="H899:H962" si="29">D899+1</f>
        <v>4</v>
      </c>
      <c r="I899" s="6">
        <f t="shared" ref="I899:I962" si="30">G899/H899</f>
        <v>5186.4975000000004</v>
      </c>
      <c r="L899" s="19"/>
      <c r="O899" s="2"/>
      <c r="P899" s="3"/>
      <c r="Q899" s="2"/>
      <c r="R899" s="2"/>
      <c r="S899" s="3"/>
      <c r="T899" s="3"/>
      <c r="U899" s="4"/>
      <c r="W899" s="6"/>
    </row>
    <row r="900" spans="1:23" ht="15" thickBot="1" x14ac:dyDescent="0.35">
      <c r="A900" s="2">
        <v>30</v>
      </c>
      <c r="B900" s="3" t="s">
        <v>14</v>
      </c>
      <c r="C900" s="2">
        <v>35.5</v>
      </c>
      <c r="D900" s="2">
        <v>0</v>
      </c>
      <c r="E900" s="3" t="s">
        <v>17</v>
      </c>
      <c r="F900" s="3" t="s">
        <v>10</v>
      </c>
      <c r="G900" s="4">
        <v>36950.26</v>
      </c>
      <c r="H900">
        <f t="shared" si="29"/>
        <v>1</v>
      </c>
      <c r="I900" s="6">
        <f t="shared" si="30"/>
        <v>36950.26</v>
      </c>
      <c r="L900" s="19"/>
      <c r="O900" s="2"/>
      <c r="P900" s="3"/>
      <c r="Q900" s="2"/>
      <c r="R900" s="2"/>
      <c r="S900" s="3"/>
      <c r="T900" s="3"/>
      <c r="U900" s="4"/>
      <c r="W900" s="6"/>
    </row>
    <row r="901" spans="1:23" ht="15" thickBot="1" x14ac:dyDescent="0.35">
      <c r="A901" s="2">
        <v>30</v>
      </c>
      <c r="B901" s="3" t="s">
        <v>15</v>
      </c>
      <c r="C901" s="2">
        <v>30.9</v>
      </c>
      <c r="D901" s="2">
        <v>3</v>
      </c>
      <c r="E901" s="3" t="s">
        <v>16</v>
      </c>
      <c r="F901" s="3" t="s">
        <v>8</v>
      </c>
      <c r="G901" s="4">
        <v>5325.65</v>
      </c>
      <c r="H901">
        <f t="shared" si="29"/>
        <v>4</v>
      </c>
      <c r="I901" s="6">
        <f t="shared" si="30"/>
        <v>1331.4124999999999</v>
      </c>
      <c r="L901" s="19"/>
      <c r="O901" s="2"/>
      <c r="P901" s="3"/>
      <c r="Q901" s="2"/>
      <c r="R901" s="2"/>
      <c r="S901" s="3"/>
      <c r="T901" s="3"/>
      <c r="U901" s="4"/>
      <c r="W901" s="6"/>
    </row>
    <row r="902" spans="1:23" ht="15" thickBot="1" x14ac:dyDescent="0.35">
      <c r="A902" s="2">
        <v>30</v>
      </c>
      <c r="B902" s="3" t="s">
        <v>14</v>
      </c>
      <c r="C902" s="2">
        <v>27.6</v>
      </c>
      <c r="D902" s="2">
        <v>1</v>
      </c>
      <c r="E902" s="3" t="s">
        <v>16</v>
      </c>
      <c r="F902" s="3" t="s">
        <v>9</v>
      </c>
      <c r="G902" s="4">
        <v>4237.13</v>
      </c>
      <c r="H902">
        <f t="shared" si="29"/>
        <v>2</v>
      </c>
      <c r="I902" s="6">
        <f t="shared" si="30"/>
        <v>2118.5650000000001</v>
      </c>
      <c r="L902" s="19"/>
      <c r="O902" s="2"/>
      <c r="P902" s="3"/>
      <c r="Q902" s="2"/>
      <c r="R902" s="2"/>
      <c r="S902" s="3"/>
      <c r="T902" s="3"/>
      <c r="U902" s="4"/>
      <c r="W902" s="6"/>
    </row>
    <row r="903" spans="1:23" ht="15" thickBot="1" x14ac:dyDescent="0.35">
      <c r="A903" s="2">
        <v>30</v>
      </c>
      <c r="B903" s="3" t="s">
        <v>15</v>
      </c>
      <c r="C903" s="2">
        <v>33.299999999999997</v>
      </c>
      <c r="D903" s="2">
        <v>1</v>
      </c>
      <c r="E903" s="3" t="s">
        <v>16</v>
      </c>
      <c r="F903" s="3" t="s">
        <v>10</v>
      </c>
      <c r="G903" s="4">
        <v>4151.03</v>
      </c>
      <c r="H903">
        <f t="shared" si="29"/>
        <v>2</v>
      </c>
      <c r="I903" s="6">
        <f t="shared" si="30"/>
        <v>2075.5149999999999</v>
      </c>
      <c r="L903" s="19"/>
      <c r="O903" s="2"/>
      <c r="P903" s="3"/>
      <c r="Q903" s="2"/>
      <c r="R903" s="2"/>
      <c r="S903" s="3"/>
      <c r="T903" s="3"/>
      <c r="U903" s="4"/>
      <c r="W903" s="6"/>
    </row>
    <row r="904" spans="1:23" ht="15" thickBot="1" x14ac:dyDescent="0.35">
      <c r="A904" s="2">
        <v>30</v>
      </c>
      <c r="B904" s="3" t="s">
        <v>15</v>
      </c>
      <c r="C904" s="2">
        <v>27.7</v>
      </c>
      <c r="D904" s="2">
        <v>0</v>
      </c>
      <c r="E904" s="3" t="s">
        <v>16</v>
      </c>
      <c r="F904" s="3" t="s">
        <v>8</v>
      </c>
      <c r="G904" s="4">
        <v>3554.2</v>
      </c>
      <c r="H904">
        <f t="shared" si="29"/>
        <v>1</v>
      </c>
      <c r="I904" s="6">
        <f t="shared" si="30"/>
        <v>3554.2</v>
      </c>
      <c r="L904" s="19"/>
      <c r="O904" s="2"/>
      <c r="P904" s="3"/>
      <c r="Q904" s="2"/>
      <c r="R904" s="2"/>
      <c r="S904" s="3"/>
      <c r="T904" s="3"/>
      <c r="U904" s="4"/>
      <c r="W904" s="6"/>
    </row>
    <row r="905" spans="1:23" ht="15" thickBot="1" x14ac:dyDescent="0.35">
      <c r="A905" s="2">
        <v>30</v>
      </c>
      <c r="B905" s="3" t="s">
        <v>14</v>
      </c>
      <c r="C905" s="2">
        <v>24.1</v>
      </c>
      <c r="D905" s="2">
        <v>1</v>
      </c>
      <c r="E905" s="3" t="s">
        <v>16</v>
      </c>
      <c r="F905" s="3" t="s">
        <v>7</v>
      </c>
      <c r="G905" s="4">
        <v>4032.24</v>
      </c>
      <c r="H905">
        <f t="shared" si="29"/>
        <v>2</v>
      </c>
      <c r="I905" s="6">
        <f t="shared" si="30"/>
        <v>2016.12</v>
      </c>
      <c r="L905" s="19"/>
      <c r="O905" s="2"/>
      <c r="P905" s="3"/>
      <c r="Q905" s="2"/>
      <c r="R905" s="2"/>
      <c r="S905" s="3"/>
      <c r="T905" s="3"/>
      <c r="U905" s="4"/>
      <c r="W905" s="6"/>
    </row>
    <row r="906" spans="1:23" ht="15" thickBot="1" x14ac:dyDescent="0.35">
      <c r="A906" s="2">
        <v>30</v>
      </c>
      <c r="B906" s="3" t="s">
        <v>15</v>
      </c>
      <c r="C906" s="2">
        <v>28.4</v>
      </c>
      <c r="D906" s="2">
        <v>1</v>
      </c>
      <c r="E906" s="3" t="s">
        <v>17</v>
      </c>
      <c r="F906" s="3" t="s">
        <v>10</v>
      </c>
      <c r="G906" s="4">
        <v>19521.97</v>
      </c>
      <c r="H906">
        <f t="shared" si="29"/>
        <v>2</v>
      </c>
      <c r="I906" s="6">
        <f t="shared" si="30"/>
        <v>9760.9850000000006</v>
      </c>
      <c r="L906" s="19"/>
      <c r="O906" s="2"/>
      <c r="P906" s="3"/>
      <c r="Q906" s="2"/>
      <c r="R906" s="2"/>
      <c r="S906" s="3"/>
      <c r="T906" s="3"/>
      <c r="U906" s="4"/>
      <c r="W906" s="6"/>
    </row>
    <row r="907" spans="1:23" ht="15" thickBot="1" x14ac:dyDescent="0.35">
      <c r="A907" s="2">
        <v>30</v>
      </c>
      <c r="B907" s="3" t="s">
        <v>15</v>
      </c>
      <c r="C907" s="2">
        <v>43.1</v>
      </c>
      <c r="D907" s="2">
        <v>2</v>
      </c>
      <c r="E907" s="3" t="s">
        <v>16</v>
      </c>
      <c r="F907" s="3" t="s">
        <v>10</v>
      </c>
      <c r="G907" s="4">
        <v>4753.6400000000003</v>
      </c>
      <c r="H907">
        <f t="shared" si="29"/>
        <v>3</v>
      </c>
      <c r="I907" s="6">
        <f t="shared" si="30"/>
        <v>1584.5466666666669</v>
      </c>
      <c r="L907" s="19"/>
      <c r="O907" s="2"/>
      <c r="P907" s="3"/>
      <c r="Q907" s="2"/>
      <c r="R907" s="2"/>
      <c r="S907" s="3"/>
      <c r="T907" s="3"/>
      <c r="U907" s="4"/>
      <c r="W907" s="6"/>
    </row>
    <row r="908" spans="1:23" ht="15" thickBot="1" x14ac:dyDescent="0.35">
      <c r="A908" s="2">
        <v>30</v>
      </c>
      <c r="B908" s="3" t="s">
        <v>14</v>
      </c>
      <c r="C908" s="2">
        <v>37.799999999999997</v>
      </c>
      <c r="D908" s="2">
        <v>2</v>
      </c>
      <c r="E908" s="3" t="s">
        <v>17</v>
      </c>
      <c r="F908" s="3" t="s">
        <v>8</v>
      </c>
      <c r="G908" s="4">
        <v>39241.440000000002</v>
      </c>
      <c r="H908">
        <f t="shared" si="29"/>
        <v>3</v>
      </c>
      <c r="I908" s="6">
        <f t="shared" si="30"/>
        <v>13080.480000000001</v>
      </c>
      <c r="L908" s="19"/>
      <c r="O908" s="2"/>
      <c r="P908" s="3"/>
      <c r="Q908" s="2"/>
      <c r="R908" s="2"/>
      <c r="S908" s="3"/>
      <c r="T908" s="3"/>
      <c r="U908" s="4"/>
      <c r="W908" s="6"/>
    </row>
    <row r="909" spans="1:23" ht="15" thickBot="1" x14ac:dyDescent="0.35">
      <c r="A909" s="2">
        <v>30</v>
      </c>
      <c r="B909" s="3" t="s">
        <v>14</v>
      </c>
      <c r="C909" s="2">
        <v>31.4</v>
      </c>
      <c r="D909" s="2">
        <v>1</v>
      </c>
      <c r="E909" s="3" t="s">
        <v>16</v>
      </c>
      <c r="F909" s="3" t="s">
        <v>8</v>
      </c>
      <c r="G909" s="4">
        <v>3659.35</v>
      </c>
      <c r="H909">
        <f t="shared" si="29"/>
        <v>2</v>
      </c>
      <c r="I909" s="6">
        <f t="shared" si="30"/>
        <v>1829.675</v>
      </c>
      <c r="L909" s="19"/>
      <c r="O909" s="2"/>
      <c r="P909" s="3"/>
      <c r="Q909" s="2"/>
      <c r="R909" s="2"/>
      <c r="S909" s="3"/>
      <c r="T909" s="3"/>
      <c r="U909" s="4"/>
      <c r="W909" s="6"/>
    </row>
    <row r="910" spans="1:23" ht="15" thickBot="1" x14ac:dyDescent="0.35">
      <c r="A910" s="2">
        <v>30</v>
      </c>
      <c r="B910" s="3" t="s">
        <v>14</v>
      </c>
      <c r="C910" s="2">
        <v>31.6</v>
      </c>
      <c r="D910" s="2">
        <v>3</v>
      </c>
      <c r="E910" s="3" t="s">
        <v>16</v>
      </c>
      <c r="F910" s="3" t="s">
        <v>10</v>
      </c>
      <c r="G910" s="4">
        <v>4837.58</v>
      </c>
      <c r="H910">
        <f t="shared" si="29"/>
        <v>4</v>
      </c>
      <c r="I910" s="6">
        <f t="shared" si="30"/>
        <v>1209.395</v>
      </c>
      <c r="L910" s="19"/>
      <c r="O910" s="2"/>
      <c r="P910" s="3"/>
      <c r="Q910" s="2"/>
      <c r="R910" s="2"/>
      <c r="S910" s="3"/>
      <c r="T910" s="3"/>
      <c r="U910" s="4"/>
      <c r="W910" s="6"/>
    </row>
    <row r="911" spans="1:23" ht="15" thickBot="1" x14ac:dyDescent="0.35">
      <c r="A911" s="2">
        <v>30</v>
      </c>
      <c r="B911" s="3" t="s">
        <v>15</v>
      </c>
      <c r="C911" s="2">
        <v>39.1</v>
      </c>
      <c r="D911" s="2">
        <v>3</v>
      </c>
      <c r="E911" s="3" t="s">
        <v>17</v>
      </c>
      <c r="F911" s="3" t="s">
        <v>10</v>
      </c>
      <c r="G911" s="4">
        <v>40932.43</v>
      </c>
      <c r="H911">
        <f t="shared" si="29"/>
        <v>4</v>
      </c>
      <c r="I911" s="6">
        <f t="shared" si="30"/>
        <v>10233.1075</v>
      </c>
      <c r="L911" s="19"/>
      <c r="O911" s="2"/>
      <c r="P911" s="3"/>
      <c r="Q911" s="2"/>
      <c r="R911" s="2"/>
      <c r="S911" s="3"/>
      <c r="T911" s="3"/>
      <c r="U911" s="4"/>
      <c r="W911" s="6"/>
    </row>
    <row r="912" spans="1:23" ht="15" thickBot="1" x14ac:dyDescent="0.35">
      <c r="A912" s="2">
        <v>30</v>
      </c>
      <c r="B912" s="3" t="s">
        <v>14</v>
      </c>
      <c r="C912" s="2">
        <v>37.4</v>
      </c>
      <c r="D912" s="2">
        <v>3</v>
      </c>
      <c r="E912" s="3" t="s">
        <v>16</v>
      </c>
      <c r="F912" s="3" t="s">
        <v>9</v>
      </c>
      <c r="G912" s="4">
        <v>5428.73</v>
      </c>
      <c r="H912">
        <f t="shared" si="29"/>
        <v>4</v>
      </c>
      <c r="I912" s="6">
        <f t="shared" si="30"/>
        <v>1357.1824999999999</v>
      </c>
      <c r="L912" s="19"/>
      <c r="O912" s="2"/>
      <c r="P912" s="3"/>
      <c r="Q912" s="2"/>
      <c r="R912" s="2"/>
      <c r="S912" s="3"/>
      <c r="T912" s="3"/>
      <c r="U912" s="4"/>
      <c r="W912" s="6"/>
    </row>
    <row r="913" spans="1:23" ht="15" thickBot="1" x14ac:dyDescent="0.35">
      <c r="A913" s="2">
        <v>30</v>
      </c>
      <c r="B913" s="3" t="s">
        <v>14</v>
      </c>
      <c r="C913" s="2">
        <v>24.4</v>
      </c>
      <c r="D913" s="2">
        <v>3</v>
      </c>
      <c r="E913" s="3" t="s">
        <v>17</v>
      </c>
      <c r="F913" s="3" t="s">
        <v>8</v>
      </c>
      <c r="G913" s="4">
        <v>18259.22</v>
      </c>
      <c r="H913">
        <f t="shared" si="29"/>
        <v>4</v>
      </c>
      <c r="I913" s="6">
        <f t="shared" si="30"/>
        <v>4564.8050000000003</v>
      </c>
      <c r="L913" s="19"/>
      <c r="O913" s="2"/>
      <c r="P913" s="3"/>
      <c r="Q913" s="2"/>
      <c r="R913" s="2"/>
      <c r="S913" s="3"/>
      <c r="T913" s="3"/>
      <c r="U913" s="4"/>
      <c r="W913" s="6"/>
    </row>
    <row r="914" spans="1:23" ht="15" thickBot="1" x14ac:dyDescent="0.35">
      <c r="A914" s="2">
        <v>30</v>
      </c>
      <c r="B914" s="3" t="s">
        <v>14</v>
      </c>
      <c r="C914" s="2">
        <v>44.2</v>
      </c>
      <c r="D914" s="2">
        <v>2</v>
      </c>
      <c r="E914" s="3" t="s">
        <v>16</v>
      </c>
      <c r="F914" s="3" t="s">
        <v>10</v>
      </c>
      <c r="G914" s="4">
        <v>4266.17</v>
      </c>
      <c r="H914">
        <f t="shared" si="29"/>
        <v>3</v>
      </c>
      <c r="I914" s="6">
        <f t="shared" si="30"/>
        <v>1422.0566666666666</v>
      </c>
      <c r="L914" s="19"/>
      <c r="O914" s="2"/>
      <c r="P914" s="3"/>
      <c r="Q914" s="2"/>
      <c r="R914" s="2"/>
      <c r="S914" s="3"/>
      <c r="T914" s="3"/>
      <c r="U914" s="4"/>
      <c r="W914" s="6"/>
    </row>
    <row r="915" spans="1:23" ht="15" thickBot="1" x14ac:dyDescent="0.35">
      <c r="A915" s="2">
        <v>30</v>
      </c>
      <c r="B915" s="3" t="s">
        <v>15</v>
      </c>
      <c r="C915" s="2">
        <v>22.9</v>
      </c>
      <c r="D915" s="2">
        <v>1</v>
      </c>
      <c r="E915" s="3" t="s">
        <v>16</v>
      </c>
      <c r="F915" s="3" t="s">
        <v>9</v>
      </c>
      <c r="G915" s="4">
        <v>4719.5200000000004</v>
      </c>
      <c r="H915">
        <f t="shared" si="29"/>
        <v>2</v>
      </c>
      <c r="I915" s="6">
        <f t="shared" si="30"/>
        <v>2359.7600000000002</v>
      </c>
      <c r="L915" s="19"/>
      <c r="O915" s="2"/>
      <c r="P915" s="3"/>
      <c r="Q915" s="2"/>
      <c r="R915" s="2"/>
      <c r="S915" s="3"/>
      <c r="T915" s="3"/>
      <c r="U915" s="4"/>
      <c r="W915" s="6"/>
    </row>
    <row r="916" spans="1:23" ht="15" thickBot="1" x14ac:dyDescent="0.35">
      <c r="A916" s="2">
        <v>30</v>
      </c>
      <c r="B916" s="3" t="s">
        <v>15</v>
      </c>
      <c r="C916" s="2">
        <v>28.4</v>
      </c>
      <c r="D916" s="2">
        <v>1</v>
      </c>
      <c r="E916" s="3" t="s">
        <v>16</v>
      </c>
      <c r="F916" s="3" t="s">
        <v>7</v>
      </c>
      <c r="G916" s="4">
        <v>4527.18</v>
      </c>
      <c r="H916">
        <f t="shared" si="29"/>
        <v>2</v>
      </c>
      <c r="I916" s="6">
        <f t="shared" si="30"/>
        <v>2263.59</v>
      </c>
      <c r="L916" s="19"/>
      <c r="O916" s="2"/>
      <c r="P916" s="3"/>
      <c r="Q916" s="2"/>
      <c r="R916" s="2"/>
      <c r="S916" s="3"/>
      <c r="T916" s="3"/>
      <c r="U916" s="4"/>
      <c r="W916" s="6"/>
    </row>
    <row r="917" spans="1:23" ht="15" thickBot="1" x14ac:dyDescent="0.35">
      <c r="A917" s="2">
        <v>30</v>
      </c>
      <c r="B917" s="3" t="s">
        <v>14</v>
      </c>
      <c r="C917" s="2">
        <v>23</v>
      </c>
      <c r="D917" s="2">
        <v>2</v>
      </c>
      <c r="E917" s="3" t="s">
        <v>17</v>
      </c>
      <c r="F917" s="3" t="s">
        <v>7</v>
      </c>
      <c r="G917" s="4">
        <v>17361.77</v>
      </c>
      <c r="H917">
        <f t="shared" si="29"/>
        <v>3</v>
      </c>
      <c r="I917" s="6">
        <f t="shared" si="30"/>
        <v>5787.2566666666671</v>
      </c>
      <c r="L917" s="19"/>
      <c r="O917" s="2"/>
      <c r="P917" s="3"/>
      <c r="Q917" s="2"/>
      <c r="R917" s="2"/>
      <c r="S917" s="3"/>
      <c r="T917" s="3"/>
      <c r="U917" s="4"/>
      <c r="W917" s="6"/>
    </row>
    <row r="918" spans="1:23" ht="15" thickBot="1" x14ac:dyDescent="0.35">
      <c r="A918" s="2">
        <v>30</v>
      </c>
      <c r="B918" s="3" t="s">
        <v>15</v>
      </c>
      <c r="C918" s="2">
        <v>27.9</v>
      </c>
      <c r="D918" s="2">
        <v>0</v>
      </c>
      <c r="E918" s="3" t="s">
        <v>16</v>
      </c>
      <c r="F918" s="3" t="s">
        <v>9</v>
      </c>
      <c r="G918" s="4">
        <v>4137.5200000000004</v>
      </c>
      <c r="H918">
        <f t="shared" si="29"/>
        <v>1</v>
      </c>
      <c r="I918" s="6">
        <f t="shared" si="30"/>
        <v>4137.5200000000004</v>
      </c>
      <c r="L918" s="19"/>
      <c r="O918" s="2"/>
      <c r="P918" s="3"/>
      <c r="Q918" s="2"/>
      <c r="R918" s="2"/>
      <c r="S918" s="3"/>
      <c r="T918" s="3"/>
      <c r="U918" s="4"/>
      <c r="W918" s="6"/>
    </row>
    <row r="919" spans="1:23" ht="15" thickBot="1" x14ac:dyDescent="0.35">
      <c r="A919" s="2">
        <v>30</v>
      </c>
      <c r="B919" s="3" t="s">
        <v>15</v>
      </c>
      <c r="C919" s="2">
        <v>20</v>
      </c>
      <c r="D919" s="2">
        <v>3</v>
      </c>
      <c r="E919" s="3" t="s">
        <v>16</v>
      </c>
      <c r="F919" s="3" t="s">
        <v>7</v>
      </c>
      <c r="G919" s="4">
        <v>5693.43</v>
      </c>
      <c r="H919">
        <f t="shared" si="29"/>
        <v>4</v>
      </c>
      <c r="I919" s="6">
        <f t="shared" si="30"/>
        <v>1423.3575000000001</v>
      </c>
      <c r="L919" s="19"/>
      <c r="O919" s="2"/>
      <c r="P919" s="3"/>
      <c r="Q919" s="2"/>
      <c r="R919" s="2"/>
      <c r="S919" s="3"/>
      <c r="T919" s="3"/>
      <c r="U919" s="4"/>
      <c r="W919" s="6"/>
    </row>
    <row r="920" spans="1:23" ht="15" thickBot="1" x14ac:dyDescent="0.35">
      <c r="A920" s="2">
        <v>30</v>
      </c>
      <c r="B920" s="3" t="s">
        <v>14</v>
      </c>
      <c r="C920" s="2">
        <v>38.799999999999997</v>
      </c>
      <c r="D920" s="2">
        <v>1</v>
      </c>
      <c r="E920" s="3" t="s">
        <v>16</v>
      </c>
      <c r="F920" s="3" t="s">
        <v>10</v>
      </c>
      <c r="G920" s="4">
        <v>18963.169999999998</v>
      </c>
      <c r="H920">
        <f t="shared" si="29"/>
        <v>2</v>
      </c>
      <c r="I920" s="6">
        <f t="shared" si="30"/>
        <v>9481.5849999999991</v>
      </c>
      <c r="L920" s="19"/>
      <c r="O920" s="2"/>
      <c r="P920" s="3"/>
      <c r="Q920" s="2"/>
      <c r="R920" s="2"/>
      <c r="S920" s="3"/>
      <c r="T920" s="3"/>
      <c r="U920" s="4"/>
      <c r="W920" s="6"/>
    </row>
    <row r="921" spans="1:23" ht="15" thickBot="1" x14ac:dyDescent="0.35">
      <c r="A921" s="2">
        <v>30</v>
      </c>
      <c r="B921" s="3" t="s">
        <v>15</v>
      </c>
      <c r="C921" s="2">
        <v>21.9</v>
      </c>
      <c r="D921" s="2">
        <v>1</v>
      </c>
      <c r="E921" s="3" t="s">
        <v>16</v>
      </c>
      <c r="F921" s="3" t="s">
        <v>9</v>
      </c>
      <c r="G921" s="4">
        <v>4718.2</v>
      </c>
      <c r="H921">
        <f t="shared" si="29"/>
        <v>2</v>
      </c>
      <c r="I921" s="6">
        <f t="shared" si="30"/>
        <v>2359.1</v>
      </c>
      <c r="L921" s="19"/>
      <c r="O921" s="2"/>
      <c r="P921" s="3"/>
      <c r="Q921" s="2"/>
      <c r="R921" s="2"/>
      <c r="S921" s="3"/>
      <c r="T921" s="3"/>
      <c r="U921" s="4"/>
      <c r="W921" s="6"/>
    </row>
    <row r="922" spans="1:23" ht="15" thickBot="1" x14ac:dyDescent="0.35">
      <c r="A922" s="2">
        <v>30</v>
      </c>
      <c r="B922" s="3" t="s">
        <v>15</v>
      </c>
      <c r="C922" s="2">
        <v>23.7</v>
      </c>
      <c r="D922" s="2">
        <v>3</v>
      </c>
      <c r="E922" s="3" t="s">
        <v>17</v>
      </c>
      <c r="F922" s="3" t="s">
        <v>7</v>
      </c>
      <c r="G922" s="4">
        <v>18765.88</v>
      </c>
      <c r="H922">
        <f t="shared" si="29"/>
        <v>4</v>
      </c>
      <c r="I922" s="6">
        <f t="shared" si="30"/>
        <v>4691.47</v>
      </c>
      <c r="L922" s="19"/>
      <c r="O922" s="2"/>
      <c r="P922" s="3"/>
      <c r="Q922" s="2"/>
      <c r="R922" s="2"/>
      <c r="S922" s="3"/>
      <c r="T922" s="3"/>
      <c r="U922" s="4"/>
      <c r="W922" s="6"/>
    </row>
    <row r="923" spans="1:23" ht="15" thickBot="1" x14ac:dyDescent="0.35">
      <c r="A923" s="2">
        <v>29</v>
      </c>
      <c r="B923" s="3" t="s">
        <v>15</v>
      </c>
      <c r="C923" s="2">
        <v>29.6</v>
      </c>
      <c r="D923" s="2">
        <v>1</v>
      </c>
      <c r="E923" s="3" t="s">
        <v>16</v>
      </c>
      <c r="F923" s="3" t="s">
        <v>10</v>
      </c>
      <c r="G923" s="4">
        <v>3947.41</v>
      </c>
      <c r="H923">
        <f t="shared" si="29"/>
        <v>2</v>
      </c>
      <c r="I923" s="6">
        <f t="shared" si="30"/>
        <v>1973.7049999999999</v>
      </c>
      <c r="L923" s="19"/>
      <c r="O923" s="2"/>
      <c r="P923" s="3"/>
      <c r="Q923" s="2"/>
      <c r="R923" s="2"/>
      <c r="S923" s="3"/>
      <c r="T923" s="3"/>
      <c r="U923" s="4"/>
      <c r="W923" s="6"/>
    </row>
    <row r="924" spans="1:23" ht="15" thickBot="1" x14ac:dyDescent="0.35">
      <c r="A924" s="2">
        <v>29</v>
      </c>
      <c r="B924" s="3" t="s">
        <v>14</v>
      </c>
      <c r="C924" s="2">
        <v>27.9</v>
      </c>
      <c r="D924" s="2">
        <v>0</v>
      </c>
      <c r="E924" s="3" t="s">
        <v>16</v>
      </c>
      <c r="F924" s="3" t="s">
        <v>10</v>
      </c>
      <c r="G924" s="4">
        <v>2867.12</v>
      </c>
      <c r="H924">
        <f t="shared" si="29"/>
        <v>1</v>
      </c>
      <c r="I924" s="6">
        <f t="shared" si="30"/>
        <v>2867.12</v>
      </c>
      <c r="L924" s="19"/>
      <c r="O924" s="2"/>
      <c r="P924" s="3"/>
      <c r="Q924" s="2"/>
      <c r="R924" s="2"/>
      <c r="S924" s="3"/>
      <c r="T924" s="3"/>
      <c r="U924" s="4"/>
      <c r="W924" s="6"/>
    </row>
    <row r="925" spans="1:23" ht="15" thickBot="1" x14ac:dyDescent="0.35">
      <c r="A925" s="2">
        <v>29</v>
      </c>
      <c r="B925" s="3" t="s">
        <v>15</v>
      </c>
      <c r="C925" s="2">
        <v>27.9</v>
      </c>
      <c r="D925" s="2">
        <v>1</v>
      </c>
      <c r="E925" s="3" t="s">
        <v>17</v>
      </c>
      <c r="F925" s="3" t="s">
        <v>10</v>
      </c>
      <c r="G925" s="4">
        <v>19107.78</v>
      </c>
      <c r="H925">
        <f t="shared" si="29"/>
        <v>2</v>
      </c>
      <c r="I925" s="6">
        <f t="shared" si="30"/>
        <v>9553.89</v>
      </c>
      <c r="L925" s="19"/>
      <c r="O925" s="2"/>
      <c r="P925" s="3"/>
      <c r="Q925" s="2"/>
      <c r="R925" s="2"/>
      <c r="S925" s="3"/>
      <c r="T925" s="3"/>
      <c r="U925" s="4"/>
      <c r="W925" s="6"/>
    </row>
    <row r="926" spans="1:23" ht="15" thickBot="1" x14ac:dyDescent="0.35">
      <c r="A926" s="2">
        <v>29</v>
      </c>
      <c r="B926" s="3" t="s">
        <v>14</v>
      </c>
      <c r="C926" s="2">
        <v>29.7</v>
      </c>
      <c r="D926" s="2">
        <v>2</v>
      </c>
      <c r="E926" s="3" t="s">
        <v>16</v>
      </c>
      <c r="F926" s="3" t="s">
        <v>7</v>
      </c>
      <c r="G926" s="4">
        <v>18157.88</v>
      </c>
      <c r="H926">
        <f t="shared" si="29"/>
        <v>3</v>
      </c>
      <c r="I926" s="6">
        <f t="shared" si="30"/>
        <v>6052.626666666667</v>
      </c>
      <c r="L926" s="19"/>
      <c r="O926" s="2"/>
      <c r="P926" s="3"/>
      <c r="Q926" s="2"/>
      <c r="R926" s="2"/>
      <c r="S926" s="3"/>
      <c r="T926" s="3"/>
      <c r="U926" s="4"/>
      <c r="W926" s="6"/>
    </row>
    <row r="927" spans="1:23" ht="15" thickBot="1" x14ac:dyDescent="0.35">
      <c r="A927" s="2">
        <v>29</v>
      </c>
      <c r="B927" s="3" t="s">
        <v>15</v>
      </c>
      <c r="C927" s="2">
        <v>38.799999999999997</v>
      </c>
      <c r="D927" s="2">
        <v>3</v>
      </c>
      <c r="E927" s="3" t="s">
        <v>16</v>
      </c>
      <c r="F927" s="3" t="s">
        <v>10</v>
      </c>
      <c r="G927" s="4">
        <v>5138.26</v>
      </c>
      <c r="H927">
        <f t="shared" si="29"/>
        <v>4</v>
      </c>
      <c r="I927" s="6">
        <f t="shared" si="30"/>
        <v>1284.5650000000001</v>
      </c>
      <c r="L927" s="19"/>
      <c r="O927" s="2"/>
      <c r="P927" s="3"/>
      <c r="Q927" s="2"/>
      <c r="R927" s="2"/>
      <c r="S927" s="3"/>
      <c r="T927" s="3"/>
      <c r="U927" s="4"/>
      <c r="W927" s="6"/>
    </row>
    <row r="928" spans="1:23" ht="15" thickBot="1" x14ac:dyDescent="0.35">
      <c r="A928" s="2">
        <v>29</v>
      </c>
      <c r="B928" s="3" t="s">
        <v>15</v>
      </c>
      <c r="C928" s="2">
        <v>32.1</v>
      </c>
      <c r="D928" s="2">
        <v>2</v>
      </c>
      <c r="E928" s="3" t="s">
        <v>16</v>
      </c>
      <c r="F928" s="3" t="s">
        <v>7</v>
      </c>
      <c r="G928" s="4">
        <v>4922.92</v>
      </c>
      <c r="H928">
        <f t="shared" si="29"/>
        <v>3</v>
      </c>
      <c r="I928" s="6">
        <f t="shared" si="30"/>
        <v>1640.9733333333334</v>
      </c>
      <c r="L928" s="19"/>
      <c r="O928" s="2"/>
      <c r="P928" s="3"/>
      <c r="Q928" s="2"/>
      <c r="R928" s="2"/>
      <c r="S928" s="3"/>
      <c r="T928" s="3"/>
      <c r="U928" s="4"/>
      <c r="W928" s="6"/>
    </row>
    <row r="929" spans="1:23" ht="15" thickBot="1" x14ac:dyDescent="0.35">
      <c r="A929" s="2">
        <v>29</v>
      </c>
      <c r="B929" s="3" t="s">
        <v>14</v>
      </c>
      <c r="C929" s="2">
        <v>29</v>
      </c>
      <c r="D929" s="2">
        <v>1</v>
      </c>
      <c r="E929" s="3" t="s">
        <v>16</v>
      </c>
      <c r="F929" s="3" t="s">
        <v>9</v>
      </c>
      <c r="G929" s="4">
        <v>4040.56</v>
      </c>
      <c r="H929">
        <f t="shared" si="29"/>
        <v>2</v>
      </c>
      <c r="I929" s="6">
        <f t="shared" si="30"/>
        <v>2020.28</v>
      </c>
      <c r="L929" s="19"/>
      <c r="O929" s="2"/>
      <c r="P929" s="3"/>
      <c r="Q929" s="2"/>
      <c r="R929" s="2"/>
      <c r="S929" s="3"/>
      <c r="T929" s="3"/>
      <c r="U929" s="4"/>
      <c r="W929" s="6"/>
    </row>
    <row r="930" spans="1:23" ht="15" thickBot="1" x14ac:dyDescent="0.35">
      <c r="A930" s="2">
        <v>29</v>
      </c>
      <c r="B930" s="3" t="s">
        <v>14</v>
      </c>
      <c r="C930" s="2">
        <v>29.6</v>
      </c>
      <c r="D930" s="2">
        <v>1</v>
      </c>
      <c r="E930" s="3" t="s">
        <v>16</v>
      </c>
      <c r="F930" s="3" t="s">
        <v>9</v>
      </c>
      <c r="G930" s="4">
        <v>20277.810000000001</v>
      </c>
      <c r="H930">
        <f t="shared" si="29"/>
        <v>2</v>
      </c>
      <c r="I930" s="6">
        <f t="shared" si="30"/>
        <v>10138.905000000001</v>
      </c>
      <c r="L930" s="19"/>
      <c r="O930" s="2"/>
      <c r="P930" s="3"/>
      <c r="Q930" s="2"/>
      <c r="R930" s="2"/>
      <c r="S930" s="3"/>
      <c r="T930" s="3"/>
      <c r="U930" s="4"/>
      <c r="W930" s="6"/>
    </row>
    <row r="931" spans="1:23" ht="15" thickBot="1" x14ac:dyDescent="0.35">
      <c r="A931" s="2">
        <v>29</v>
      </c>
      <c r="B931" s="3" t="s">
        <v>14</v>
      </c>
      <c r="C931" s="2">
        <v>33.299999999999997</v>
      </c>
      <c r="D931" s="2">
        <v>2</v>
      </c>
      <c r="E931" s="3" t="s">
        <v>16</v>
      </c>
      <c r="F931" s="3" t="s">
        <v>7</v>
      </c>
      <c r="G931" s="4">
        <v>19442.349999999999</v>
      </c>
      <c r="H931">
        <f t="shared" si="29"/>
        <v>3</v>
      </c>
      <c r="I931" s="6">
        <f t="shared" si="30"/>
        <v>6480.7833333333328</v>
      </c>
      <c r="L931" s="19"/>
      <c r="O931" s="2"/>
      <c r="P931" s="3"/>
      <c r="Q931" s="2"/>
      <c r="R931" s="2"/>
      <c r="S931" s="3"/>
      <c r="T931" s="3"/>
      <c r="U931" s="4"/>
      <c r="W931" s="6"/>
    </row>
    <row r="932" spans="1:23" ht="15" thickBot="1" x14ac:dyDescent="0.35">
      <c r="A932" s="2">
        <v>29</v>
      </c>
      <c r="B932" s="3" t="s">
        <v>14</v>
      </c>
      <c r="C932" s="2">
        <v>27.2</v>
      </c>
      <c r="D932" s="2">
        <v>0</v>
      </c>
      <c r="E932" s="3" t="s">
        <v>16</v>
      </c>
      <c r="F932" s="3" t="s">
        <v>8</v>
      </c>
      <c r="G932" s="4">
        <v>2866.09</v>
      </c>
      <c r="H932">
        <f t="shared" si="29"/>
        <v>1</v>
      </c>
      <c r="I932" s="6">
        <f t="shared" si="30"/>
        <v>2866.09</v>
      </c>
      <c r="L932" s="19"/>
      <c r="O932" s="2"/>
      <c r="P932" s="3"/>
      <c r="Q932" s="2"/>
      <c r="R932" s="2"/>
      <c r="S932" s="3"/>
      <c r="T932" s="3"/>
      <c r="U932" s="4"/>
      <c r="W932" s="6"/>
    </row>
    <row r="933" spans="1:23" ht="15" thickBot="1" x14ac:dyDescent="0.35">
      <c r="A933" s="2">
        <v>29</v>
      </c>
      <c r="B933" s="3" t="s">
        <v>15</v>
      </c>
      <c r="C933" s="2">
        <v>20.2</v>
      </c>
      <c r="D933" s="2">
        <v>2</v>
      </c>
      <c r="E933" s="3" t="s">
        <v>16</v>
      </c>
      <c r="F933" s="3" t="s">
        <v>7</v>
      </c>
      <c r="G933" s="4">
        <v>4906.41</v>
      </c>
      <c r="H933">
        <f t="shared" si="29"/>
        <v>3</v>
      </c>
      <c r="I933" s="6">
        <f t="shared" si="30"/>
        <v>1635.47</v>
      </c>
      <c r="L933" s="19"/>
      <c r="O933" s="2"/>
      <c r="P933" s="3"/>
      <c r="Q933" s="2"/>
      <c r="R933" s="2"/>
      <c r="S933" s="3"/>
      <c r="T933" s="3"/>
      <c r="U933" s="4"/>
      <c r="W933" s="6"/>
    </row>
    <row r="934" spans="1:23" ht="15" thickBot="1" x14ac:dyDescent="0.35">
      <c r="A934" s="2">
        <v>29</v>
      </c>
      <c r="B934" s="3" t="s">
        <v>14</v>
      </c>
      <c r="C934" s="2">
        <v>34.4</v>
      </c>
      <c r="D934" s="2">
        <v>0</v>
      </c>
      <c r="E934" s="3" t="s">
        <v>17</v>
      </c>
      <c r="F934" s="3" t="s">
        <v>8</v>
      </c>
      <c r="G934" s="4">
        <v>36197.699999999997</v>
      </c>
      <c r="H934">
        <f t="shared" si="29"/>
        <v>1</v>
      </c>
      <c r="I934" s="6">
        <f t="shared" si="30"/>
        <v>36197.699999999997</v>
      </c>
      <c r="L934" s="19"/>
      <c r="O934" s="2"/>
      <c r="P934" s="3"/>
      <c r="Q934" s="2"/>
      <c r="R934" s="2"/>
      <c r="S934" s="3"/>
      <c r="T934" s="3"/>
      <c r="U934" s="4"/>
      <c r="W934" s="6"/>
    </row>
    <row r="935" spans="1:23" ht="15" thickBot="1" x14ac:dyDescent="0.35">
      <c r="A935" s="2">
        <v>29</v>
      </c>
      <c r="B935" s="3" t="s">
        <v>15</v>
      </c>
      <c r="C935" s="2">
        <v>26</v>
      </c>
      <c r="D935" s="2">
        <v>0</v>
      </c>
      <c r="E935" s="3" t="s">
        <v>16</v>
      </c>
      <c r="F935" s="3" t="s">
        <v>7</v>
      </c>
      <c r="G935" s="4">
        <v>3736.46</v>
      </c>
      <c r="H935">
        <f t="shared" si="29"/>
        <v>1</v>
      </c>
      <c r="I935" s="6">
        <f t="shared" si="30"/>
        <v>3736.46</v>
      </c>
      <c r="L935" s="19"/>
      <c r="O935" s="2"/>
      <c r="P935" s="3"/>
      <c r="Q935" s="2"/>
      <c r="R935" s="2"/>
      <c r="S935" s="3"/>
      <c r="T935" s="3"/>
      <c r="U935" s="4"/>
      <c r="W935" s="6"/>
    </row>
    <row r="936" spans="1:23" ht="15" thickBot="1" x14ac:dyDescent="0.35">
      <c r="A936" s="2">
        <v>29</v>
      </c>
      <c r="B936" s="3" t="s">
        <v>15</v>
      </c>
      <c r="C936" s="2">
        <v>35.5</v>
      </c>
      <c r="D936" s="2">
        <v>0</v>
      </c>
      <c r="E936" s="3" t="s">
        <v>16</v>
      </c>
      <c r="F936" s="3" t="s">
        <v>10</v>
      </c>
      <c r="G936" s="4">
        <v>3366.67</v>
      </c>
      <c r="H936">
        <f t="shared" si="29"/>
        <v>1</v>
      </c>
      <c r="I936" s="6">
        <f t="shared" si="30"/>
        <v>3366.67</v>
      </c>
      <c r="L936" s="19"/>
      <c r="O936" s="2"/>
      <c r="P936" s="3"/>
      <c r="Q936" s="2"/>
      <c r="R936" s="2"/>
      <c r="S936" s="3"/>
      <c r="T936" s="3"/>
      <c r="U936" s="4"/>
      <c r="W936" s="6"/>
    </row>
    <row r="937" spans="1:23" ht="15" thickBot="1" x14ac:dyDescent="0.35">
      <c r="A937" s="2">
        <v>29</v>
      </c>
      <c r="B937" s="3" t="s">
        <v>15</v>
      </c>
      <c r="C937" s="2">
        <v>31.2</v>
      </c>
      <c r="D937" s="2">
        <v>0</v>
      </c>
      <c r="E937" s="3" t="s">
        <v>16</v>
      </c>
      <c r="F937" s="3" t="s">
        <v>9</v>
      </c>
      <c r="G937" s="4">
        <v>3943.6</v>
      </c>
      <c r="H937">
        <f t="shared" si="29"/>
        <v>1</v>
      </c>
      <c r="I937" s="6">
        <f t="shared" si="30"/>
        <v>3943.6</v>
      </c>
      <c r="L937" s="19"/>
      <c r="O937" s="2"/>
      <c r="P937" s="3"/>
      <c r="Q937" s="2"/>
      <c r="R937" s="2"/>
      <c r="S937" s="3"/>
      <c r="T937" s="3"/>
      <c r="U937" s="4"/>
      <c r="W937" s="6"/>
    </row>
    <row r="938" spans="1:23" ht="15" thickBot="1" x14ac:dyDescent="0.35">
      <c r="A938" s="2">
        <v>29</v>
      </c>
      <c r="B938" s="3" t="s">
        <v>15</v>
      </c>
      <c r="C938" s="2">
        <v>21.8</v>
      </c>
      <c r="D938" s="2">
        <v>1</v>
      </c>
      <c r="E938" s="3" t="s">
        <v>17</v>
      </c>
      <c r="F938" s="3" t="s">
        <v>9</v>
      </c>
      <c r="G938" s="4">
        <v>16657.72</v>
      </c>
      <c r="H938">
        <f t="shared" si="29"/>
        <v>2</v>
      </c>
      <c r="I938" s="6">
        <f t="shared" si="30"/>
        <v>8328.86</v>
      </c>
      <c r="L938" s="19"/>
      <c r="O938" s="2"/>
      <c r="P938" s="3"/>
      <c r="Q938" s="2"/>
      <c r="R938" s="2"/>
      <c r="S938" s="3"/>
      <c r="T938" s="3"/>
      <c r="U938" s="4"/>
      <c r="W938" s="6"/>
    </row>
    <row r="939" spans="1:23" ht="15" thickBot="1" x14ac:dyDescent="0.35">
      <c r="A939" s="2">
        <v>29</v>
      </c>
      <c r="B939" s="3" t="s">
        <v>14</v>
      </c>
      <c r="C939" s="2">
        <v>35.5</v>
      </c>
      <c r="D939" s="2">
        <v>2</v>
      </c>
      <c r="E939" s="3" t="s">
        <v>17</v>
      </c>
      <c r="F939" s="3" t="s">
        <v>8</v>
      </c>
      <c r="G939" s="4">
        <v>44585.46</v>
      </c>
      <c r="H939">
        <f t="shared" si="29"/>
        <v>3</v>
      </c>
      <c r="I939" s="6">
        <f t="shared" si="30"/>
        <v>14861.82</v>
      </c>
      <c r="L939" s="19"/>
      <c r="O939" s="2"/>
      <c r="P939" s="3"/>
      <c r="Q939" s="2"/>
      <c r="R939" s="2"/>
      <c r="S939" s="3"/>
      <c r="T939" s="3"/>
      <c r="U939" s="4"/>
      <c r="W939" s="6"/>
    </row>
    <row r="940" spans="1:23" ht="15" thickBot="1" x14ac:dyDescent="0.35">
      <c r="A940" s="2">
        <v>29</v>
      </c>
      <c r="B940" s="3" t="s">
        <v>14</v>
      </c>
      <c r="C940" s="2">
        <v>22.5</v>
      </c>
      <c r="D940" s="2">
        <v>3</v>
      </c>
      <c r="E940" s="3" t="s">
        <v>16</v>
      </c>
      <c r="F940" s="3" t="s">
        <v>9</v>
      </c>
      <c r="G940" s="4">
        <v>5209.58</v>
      </c>
      <c r="H940">
        <f t="shared" si="29"/>
        <v>4</v>
      </c>
      <c r="I940" s="6">
        <f t="shared" si="30"/>
        <v>1302.395</v>
      </c>
      <c r="L940" s="19"/>
      <c r="O940" s="2"/>
      <c r="P940" s="3"/>
      <c r="Q940" s="2"/>
      <c r="R940" s="2"/>
      <c r="S940" s="3"/>
      <c r="T940" s="3"/>
      <c r="U940" s="4"/>
      <c r="W940" s="6"/>
    </row>
    <row r="941" spans="1:23" ht="15" thickBot="1" x14ac:dyDescent="0.35">
      <c r="A941" s="2">
        <v>29</v>
      </c>
      <c r="B941" s="3" t="s">
        <v>15</v>
      </c>
      <c r="C941" s="2">
        <v>25.9</v>
      </c>
      <c r="D941" s="2">
        <v>0</v>
      </c>
      <c r="E941" s="3" t="s">
        <v>16</v>
      </c>
      <c r="F941" s="3" t="s">
        <v>8</v>
      </c>
      <c r="G941" s="4">
        <v>3353.28</v>
      </c>
      <c r="H941">
        <f t="shared" si="29"/>
        <v>1</v>
      </c>
      <c r="I941" s="6">
        <f t="shared" si="30"/>
        <v>3353.28</v>
      </c>
      <c r="L941" s="19"/>
      <c r="O941" s="2"/>
      <c r="P941" s="3"/>
      <c r="Q941" s="2"/>
      <c r="R941" s="2"/>
      <c r="S941" s="3"/>
      <c r="T941" s="3"/>
      <c r="U941" s="4"/>
      <c r="W941" s="6"/>
    </row>
    <row r="942" spans="1:23" ht="15" thickBot="1" x14ac:dyDescent="0.35">
      <c r="A942" s="2">
        <v>29</v>
      </c>
      <c r="B942" s="3" t="s">
        <v>14</v>
      </c>
      <c r="C942" s="2">
        <v>22.9</v>
      </c>
      <c r="D942" s="2">
        <v>0</v>
      </c>
      <c r="E942" s="3" t="s">
        <v>17</v>
      </c>
      <c r="F942" s="3" t="s">
        <v>9</v>
      </c>
      <c r="G942" s="4">
        <v>16138.76</v>
      </c>
      <c r="H942">
        <f t="shared" si="29"/>
        <v>1</v>
      </c>
      <c r="I942" s="6">
        <f t="shared" si="30"/>
        <v>16138.76</v>
      </c>
      <c r="L942" s="19"/>
      <c r="O942" s="2"/>
      <c r="P942" s="3"/>
      <c r="Q942" s="2"/>
      <c r="R942" s="2"/>
      <c r="S942" s="3"/>
      <c r="T942" s="3"/>
      <c r="U942" s="4"/>
      <c r="W942" s="6"/>
    </row>
    <row r="943" spans="1:23" ht="15" thickBot="1" x14ac:dyDescent="0.35">
      <c r="A943" s="2">
        <v>29</v>
      </c>
      <c r="B943" s="3" t="s">
        <v>14</v>
      </c>
      <c r="C943" s="2">
        <v>31.7</v>
      </c>
      <c r="D943" s="2">
        <v>2</v>
      </c>
      <c r="E943" s="3" t="s">
        <v>16</v>
      </c>
      <c r="F943" s="3" t="s">
        <v>7</v>
      </c>
      <c r="G943" s="4">
        <v>4433.3900000000003</v>
      </c>
      <c r="H943">
        <f t="shared" si="29"/>
        <v>3</v>
      </c>
      <c r="I943" s="6">
        <f t="shared" si="30"/>
        <v>1477.7966666666669</v>
      </c>
      <c r="L943" s="19"/>
      <c r="O943" s="2"/>
      <c r="P943" s="3"/>
      <c r="Q943" s="2"/>
      <c r="R943" s="2"/>
      <c r="S943" s="3"/>
      <c r="T943" s="3"/>
      <c r="U943" s="4"/>
      <c r="W943" s="6"/>
    </row>
    <row r="944" spans="1:23" ht="15" thickBot="1" x14ac:dyDescent="0.35">
      <c r="A944" s="2">
        <v>29</v>
      </c>
      <c r="B944" s="3" t="s">
        <v>15</v>
      </c>
      <c r="C944" s="2">
        <v>25.6</v>
      </c>
      <c r="D944" s="2">
        <v>4</v>
      </c>
      <c r="E944" s="3" t="s">
        <v>16</v>
      </c>
      <c r="F944" s="3" t="s">
        <v>8</v>
      </c>
      <c r="G944" s="4">
        <v>5708.87</v>
      </c>
      <c r="H944">
        <f t="shared" si="29"/>
        <v>5</v>
      </c>
      <c r="I944" s="6">
        <f t="shared" si="30"/>
        <v>1141.7739999999999</v>
      </c>
      <c r="L944" s="19"/>
      <c r="O944" s="2"/>
      <c r="P944" s="3"/>
      <c r="Q944" s="2"/>
      <c r="R944" s="2"/>
      <c r="S944" s="3"/>
      <c r="T944" s="3"/>
      <c r="U944" s="4"/>
      <c r="W944" s="6"/>
    </row>
    <row r="945" spans="1:23" ht="15" thickBot="1" x14ac:dyDescent="0.35">
      <c r="A945" s="2">
        <v>29</v>
      </c>
      <c r="B945" s="3" t="s">
        <v>14</v>
      </c>
      <c r="C945" s="2">
        <v>38.9</v>
      </c>
      <c r="D945" s="2">
        <v>1</v>
      </c>
      <c r="E945" s="3" t="s">
        <v>16</v>
      </c>
      <c r="F945" s="3" t="s">
        <v>10</v>
      </c>
      <c r="G945" s="4">
        <v>3471.41</v>
      </c>
      <c r="H945">
        <f t="shared" si="29"/>
        <v>2</v>
      </c>
      <c r="I945" s="6">
        <f t="shared" si="30"/>
        <v>1735.7049999999999</v>
      </c>
      <c r="L945" s="19"/>
      <c r="O945" s="2"/>
      <c r="P945" s="3"/>
      <c r="Q945" s="2"/>
      <c r="R945" s="2"/>
      <c r="S945" s="3"/>
      <c r="T945" s="3"/>
      <c r="U945" s="4"/>
      <c r="W945" s="6"/>
    </row>
    <row r="946" spans="1:23" ht="15" thickBot="1" x14ac:dyDescent="0.35">
      <c r="A946" s="2">
        <v>29</v>
      </c>
      <c r="B946" s="3" t="s">
        <v>15</v>
      </c>
      <c r="C946" s="2">
        <v>24.6</v>
      </c>
      <c r="D946" s="2">
        <v>2</v>
      </c>
      <c r="E946" s="3" t="s">
        <v>16</v>
      </c>
      <c r="F946" s="3" t="s">
        <v>8</v>
      </c>
      <c r="G946" s="4">
        <v>4529.4799999999996</v>
      </c>
      <c r="H946">
        <f t="shared" si="29"/>
        <v>3</v>
      </c>
      <c r="I946" s="6">
        <f t="shared" si="30"/>
        <v>1509.8266666666666</v>
      </c>
      <c r="L946" s="19"/>
      <c r="O946" s="2"/>
      <c r="P946" s="3"/>
      <c r="Q946" s="2"/>
      <c r="R946" s="2"/>
      <c r="S946" s="3"/>
      <c r="T946" s="3"/>
      <c r="U946" s="4"/>
      <c r="W946" s="6"/>
    </row>
    <row r="947" spans="1:23" ht="15" thickBot="1" x14ac:dyDescent="0.35">
      <c r="A947" s="2">
        <v>29</v>
      </c>
      <c r="B947" s="3" t="s">
        <v>14</v>
      </c>
      <c r="C947" s="2">
        <v>32.1</v>
      </c>
      <c r="D947" s="2">
        <v>2</v>
      </c>
      <c r="E947" s="3" t="s">
        <v>16</v>
      </c>
      <c r="F947" s="3" t="s">
        <v>7</v>
      </c>
      <c r="G947" s="4">
        <v>4433.92</v>
      </c>
      <c r="H947">
        <f t="shared" si="29"/>
        <v>3</v>
      </c>
      <c r="I947" s="6">
        <f t="shared" si="30"/>
        <v>1477.9733333333334</v>
      </c>
      <c r="L947" s="19"/>
      <c r="O947" s="2"/>
      <c r="P947" s="3"/>
      <c r="Q947" s="2"/>
      <c r="R947" s="2"/>
      <c r="S947" s="3"/>
      <c r="T947" s="3"/>
      <c r="U947" s="4"/>
      <c r="W947" s="6"/>
    </row>
    <row r="948" spans="1:23" ht="15" thickBot="1" x14ac:dyDescent="0.35">
      <c r="A948" s="2">
        <v>29</v>
      </c>
      <c r="B948" s="3" t="s">
        <v>14</v>
      </c>
      <c r="C948" s="2">
        <v>37.299999999999997</v>
      </c>
      <c r="D948" s="2">
        <v>2</v>
      </c>
      <c r="E948" s="3" t="s">
        <v>16</v>
      </c>
      <c r="F948" s="3" t="s">
        <v>10</v>
      </c>
      <c r="G948" s="4">
        <v>4058.12</v>
      </c>
      <c r="H948">
        <f t="shared" si="29"/>
        <v>3</v>
      </c>
      <c r="I948" s="6">
        <f t="shared" si="30"/>
        <v>1352.7066666666667</v>
      </c>
      <c r="L948" s="19"/>
      <c r="O948" s="2"/>
      <c r="P948" s="3"/>
      <c r="Q948" s="2"/>
      <c r="R948" s="2"/>
      <c r="S948" s="3"/>
      <c r="T948" s="3"/>
      <c r="U948" s="4"/>
      <c r="W948" s="6"/>
    </row>
    <row r="949" spans="1:23" ht="15" thickBot="1" x14ac:dyDescent="0.35">
      <c r="A949" s="2">
        <v>29</v>
      </c>
      <c r="B949" s="3" t="s">
        <v>15</v>
      </c>
      <c r="C949" s="2">
        <v>21.9</v>
      </c>
      <c r="D949" s="2">
        <v>0</v>
      </c>
      <c r="E949" s="3" t="s">
        <v>17</v>
      </c>
      <c r="F949" s="3" t="s">
        <v>9</v>
      </c>
      <c r="G949" s="4">
        <v>16115.3</v>
      </c>
      <c r="H949">
        <f t="shared" si="29"/>
        <v>1</v>
      </c>
      <c r="I949" s="6">
        <f t="shared" si="30"/>
        <v>16115.3</v>
      </c>
      <c r="L949" s="19"/>
      <c r="O949" s="2"/>
      <c r="P949" s="3"/>
      <c r="Q949" s="2"/>
      <c r="R949" s="2"/>
      <c r="S949" s="3"/>
      <c r="T949" s="3"/>
      <c r="U949" s="4"/>
      <c r="W949" s="6"/>
    </row>
    <row r="950" spans="1:23" ht="15" thickBot="1" x14ac:dyDescent="0.35">
      <c r="A950" s="2">
        <v>28</v>
      </c>
      <c r="B950" s="3" t="s">
        <v>14</v>
      </c>
      <c r="C950" s="2">
        <v>33</v>
      </c>
      <c r="D950" s="2">
        <v>3</v>
      </c>
      <c r="E950" s="3" t="s">
        <v>16</v>
      </c>
      <c r="F950" s="3" t="s">
        <v>10</v>
      </c>
      <c r="G950" s="4">
        <v>4449.46</v>
      </c>
      <c r="H950">
        <f t="shared" si="29"/>
        <v>4</v>
      </c>
      <c r="I950" s="6">
        <f t="shared" si="30"/>
        <v>1112.365</v>
      </c>
      <c r="L950" s="19"/>
      <c r="O950" s="2"/>
      <c r="P950" s="3"/>
      <c r="Q950" s="2"/>
      <c r="R950" s="2"/>
      <c r="S950" s="3"/>
      <c r="T950" s="3"/>
      <c r="U950" s="4"/>
      <c r="W950" s="6"/>
    </row>
    <row r="951" spans="1:23" ht="15" thickBot="1" x14ac:dyDescent="0.35">
      <c r="A951" s="2">
        <v>28</v>
      </c>
      <c r="B951" s="3" t="s">
        <v>14</v>
      </c>
      <c r="C951" s="2">
        <v>36.4</v>
      </c>
      <c r="D951" s="2">
        <v>1</v>
      </c>
      <c r="E951" s="3" t="s">
        <v>17</v>
      </c>
      <c r="F951" s="3" t="s">
        <v>8</v>
      </c>
      <c r="G951" s="4">
        <v>51194.559999999998</v>
      </c>
      <c r="H951">
        <f t="shared" si="29"/>
        <v>2</v>
      </c>
      <c r="I951" s="6">
        <f t="shared" si="30"/>
        <v>25597.279999999999</v>
      </c>
      <c r="L951" s="19"/>
      <c r="O951" s="2"/>
      <c r="P951" s="3"/>
      <c r="Q951" s="2"/>
      <c r="R951" s="2"/>
      <c r="S951" s="3"/>
      <c r="T951" s="3"/>
      <c r="U951" s="4"/>
      <c r="W951" s="6"/>
    </row>
    <row r="952" spans="1:23" ht="15" thickBot="1" x14ac:dyDescent="0.35">
      <c r="A952" s="2">
        <v>28</v>
      </c>
      <c r="B952" s="3" t="s">
        <v>15</v>
      </c>
      <c r="C952" s="2">
        <v>34.799999999999997</v>
      </c>
      <c r="D952" s="2">
        <v>0</v>
      </c>
      <c r="E952" s="3" t="s">
        <v>16</v>
      </c>
      <c r="F952" s="3" t="s">
        <v>7</v>
      </c>
      <c r="G952" s="4">
        <v>3556.92</v>
      </c>
      <c r="H952">
        <f t="shared" si="29"/>
        <v>1</v>
      </c>
      <c r="I952" s="6">
        <f t="shared" si="30"/>
        <v>3556.92</v>
      </c>
      <c r="L952" s="19"/>
      <c r="O952" s="2"/>
      <c r="P952" s="3"/>
      <c r="Q952" s="2"/>
      <c r="R952" s="2"/>
      <c r="S952" s="3"/>
      <c r="T952" s="3"/>
      <c r="U952" s="4"/>
      <c r="W952" s="6"/>
    </row>
    <row r="953" spans="1:23" ht="15" thickBot="1" x14ac:dyDescent="0.35">
      <c r="A953" s="2">
        <v>28</v>
      </c>
      <c r="B953" s="3" t="s">
        <v>15</v>
      </c>
      <c r="C953" s="2">
        <v>25.9</v>
      </c>
      <c r="D953" s="2">
        <v>1</v>
      </c>
      <c r="E953" s="3" t="s">
        <v>16</v>
      </c>
      <c r="F953" s="3" t="s">
        <v>7</v>
      </c>
      <c r="G953" s="4">
        <v>4133.6400000000003</v>
      </c>
      <c r="H953">
        <f t="shared" si="29"/>
        <v>2</v>
      </c>
      <c r="I953" s="6">
        <f t="shared" si="30"/>
        <v>2066.8200000000002</v>
      </c>
      <c r="L953" s="19"/>
      <c r="O953" s="2"/>
      <c r="P953" s="3"/>
      <c r="Q953" s="2"/>
      <c r="R953" s="2"/>
      <c r="S953" s="3"/>
      <c r="T953" s="3"/>
      <c r="U953" s="4"/>
      <c r="W953" s="6"/>
    </row>
    <row r="954" spans="1:23" ht="15" thickBot="1" x14ac:dyDescent="0.35">
      <c r="A954" s="2">
        <v>28</v>
      </c>
      <c r="B954" s="3" t="s">
        <v>14</v>
      </c>
      <c r="C954" s="2">
        <v>24</v>
      </c>
      <c r="D954" s="2">
        <v>3</v>
      </c>
      <c r="E954" s="3" t="s">
        <v>17</v>
      </c>
      <c r="F954" s="3" t="s">
        <v>10</v>
      </c>
      <c r="G954" s="4">
        <v>17663.14</v>
      </c>
      <c r="H954">
        <f t="shared" si="29"/>
        <v>4</v>
      </c>
      <c r="I954" s="6">
        <f t="shared" si="30"/>
        <v>4415.7849999999999</v>
      </c>
      <c r="L954" s="19"/>
      <c r="O954" s="2"/>
      <c r="P954" s="3"/>
      <c r="Q954" s="2"/>
      <c r="R954" s="2"/>
      <c r="S954" s="3"/>
      <c r="T954" s="3"/>
      <c r="U954" s="4"/>
      <c r="W954" s="6"/>
    </row>
    <row r="955" spans="1:23" ht="15" thickBot="1" x14ac:dyDescent="0.35">
      <c r="A955" s="2">
        <v>28</v>
      </c>
      <c r="B955" s="3" t="s">
        <v>15</v>
      </c>
      <c r="C955" s="2">
        <v>37.6</v>
      </c>
      <c r="D955" s="2">
        <v>1</v>
      </c>
      <c r="E955" s="3" t="s">
        <v>16</v>
      </c>
      <c r="F955" s="3" t="s">
        <v>10</v>
      </c>
      <c r="G955" s="4">
        <v>3766.88</v>
      </c>
      <c r="H955">
        <f t="shared" si="29"/>
        <v>2</v>
      </c>
      <c r="I955" s="6">
        <f t="shared" si="30"/>
        <v>1883.44</v>
      </c>
      <c r="L955" s="19"/>
      <c r="O955" s="2"/>
      <c r="P955" s="3"/>
      <c r="Q955" s="2"/>
      <c r="R955" s="2"/>
      <c r="S955" s="3"/>
      <c r="T955" s="3"/>
      <c r="U955" s="4"/>
      <c r="W955" s="6"/>
    </row>
    <row r="956" spans="1:23" ht="15" thickBot="1" x14ac:dyDescent="0.35">
      <c r="A956" s="2">
        <v>28</v>
      </c>
      <c r="B956" s="3" t="s">
        <v>15</v>
      </c>
      <c r="C956" s="2">
        <v>28.9</v>
      </c>
      <c r="D956" s="2">
        <v>1</v>
      </c>
      <c r="E956" s="3" t="s">
        <v>16</v>
      </c>
      <c r="F956" s="3" t="s">
        <v>9</v>
      </c>
      <c r="G956" s="4">
        <v>4337.74</v>
      </c>
      <c r="H956">
        <f t="shared" si="29"/>
        <v>2</v>
      </c>
      <c r="I956" s="6">
        <f t="shared" si="30"/>
        <v>2168.87</v>
      </c>
      <c r="L956" s="19"/>
      <c r="O956" s="2"/>
      <c r="P956" s="3"/>
      <c r="Q956" s="2"/>
      <c r="R956" s="2"/>
      <c r="S956" s="3"/>
      <c r="T956" s="3"/>
      <c r="U956" s="4"/>
      <c r="W956" s="6"/>
    </row>
    <row r="957" spans="1:23" ht="15" thickBot="1" x14ac:dyDescent="0.35">
      <c r="A957" s="2">
        <v>28</v>
      </c>
      <c r="B957" s="3" t="s">
        <v>14</v>
      </c>
      <c r="C957" s="2">
        <v>38.1</v>
      </c>
      <c r="D957" s="2">
        <v>0</v>
      </c>
      <c r="E957" s="3" t="s">
        <v>16</v>
      </c>
      <c r="F957" s="3" t="s">
        <v>10</v>
      </c>
      <c r="G957" s="4">
        <v>2689.5</v>
      </c>
      <c r="H957">
        <f t="shared" si="29"/>
        <v>1</v>
      </c>
      <c r="I957" s="6">
        <f t="shared" si="30"/>
        <v>2689.5</v>
      </c>
      <c r="L957" s="19"/>
      <c r="O957" s="2"/>
      <c r="P957" s="3"/>
      <c r="Q957" s="2"/>
      <c r="R957" s="2"/>
      <c r="S957" s="3"/>
      <c r="T957" s="3"/>
      <c r="U957" s="4"/>
      <c r="W957" s="6"/>
    </row>
    <row r="958" spans="1:23" ht="15" thickBot="1" x14ac:dyDescent="0.35">
      <c r="A958" s="2">
        <v>28</v>
      </c>
      <c r="B958" s="3" t="s">
        <v>15</v>
      </c>
      <c r="C958" s="2">
        <v>33.4</v>
      </c>
      <c r="D958" s="2">
        <v>0</v>
      </c>
      <c r="E958" s="3" t="s">
        <v>16</v>
      </c>
      <c r="F958" s="3" t="s">
        <v>8</v>
      </c>
      <c r="G958" s="4">
        <v>3172.02</v>
      </c>
      <c r="H958">
        <f t="shared" si="29"/>
        <v>1</v>
      </c>
      <c r="I958" s="6">
        <f t="shared" si="30"/>
        <v>3172.02</v>
      </c>
      <c r="L958" s="19"/>
      <c r="O958" s="2"/>
      <c r="P958" s="3"/>
      <c r="Q958" s="2"/>
      <c r="R958" s="2"/>
      <c r="S958" s="3"/>
      <c r="T958" s="3"/>
      <c r="U958" s="4"/>
      <c r="W958" s="6"/>
    </row>
    <row r="959" spans="1:23" ht="15" thickBot="1" x14ac:dyDescent="0.35">
      <c r="A959" s="2">
        <v>28</v>
      </c>
      <c r="B959" s="3" t="s">
        <v>15</v>
      </c>
      <c r="C959" s="2">
        <v>33</v>
      </c>
      <c r="D959" s="2">
        <v>2</v>
      </c>
      <c r="E959" s="3" t="s">
        <v>16</v>
      </c>
      <c r="F959" s="3" t="s">
        <v>10</v>
      </c>
      <c r="G959" s="4">
        <v>4349.46</v>
      </c>
      <c r="H959">
        <f t="shared" si="29"/>
        <v>3</v>
      </c>
      <c r="I959" s="6">
        <f t="shared" si="30"/>
        <v>1449.82</v>
      </c>
      <c r="L959" s="19"/>
      <c r="O959" s="2"/>
      <c r="P959" s="3"/>
      <c r="Q959" s="2"/>
      <c r="R959" s="2"/>
      <c r="S959" s="3"/>
      <c r="T959" s="3"/>
      <c r="U959" s="4"/>
      <c r="W959" s="6"/>
    </row>
    <row r="960" spans="1:23" ht="15" thickBot="1" x14ac:dyDescent="0.35">
      <c r="A960" s="2">
        <v>28</v>
      </c>
      <c r="B960" s="3" t="s">
        <v>15</v>
      </c>
      <c r="C960" s="2">
        <v>27.5</v>
      </c>
      <c r="D960" s="2">
        <v>2</v>
      </c>
      <c r="E960" s="3" t="s">
        <v>16</v>
      </c>
      <c r="F960" s="3" t="s">
        <v>8</v>
      </c>
      <c r="G960" s="4">
        <v>20177.669999999998</v>
      </c>
      <c r="H960">
        <f t="shared" si="29"/>
        <v>3</v>
      </c>
      <c r="I960" s="6">
        <f t="shared" si="30"/>
        <v>6725.8899999999994</v>
      </c>
      <c r="L960" s="19"/>
      <c r="O960" s="2"/>
      <c r="P960" s="3"/>
      <c r="Q960" s="2"/>
      <c r="R960" s="2"/>
      <c r="S960" s="3"/>
      <c r="T960" s="3"/>
      <c r="U960" s="4"/>
      <c r="W960" s="6"/>
    </row>
    <row r="961" spans="1:23" ht="15" thickBot="1" x14ac:dyDescent="0.35">
      <c r="A961" s="2">
        <v>28</v>
      </c>
      <c r="B961" s="3" t="s">
        <v>15</v>
      </c>
      <c r="C961" s="2">
        <v>24.3</v>
      </c>
      <c r="D961" s="2">
        <v>1</v>
      </c>
      <c r="E961" s="3" t="s">
        <v>16</v>
      </c>
      <c r="F961" s="3" t="s">
        <v>9</v>
      </c>
      <c r="G961" s="4">
        <v>23288.93</v>
      </c>
      <c r="H961">
        <f t="shared" si="29"/>
        <v>2</v>
      </c>
      <c r="I961" s="6">
        <f t="shared" si="30"/>
        <v>11644.465</v>
      </c>
      <c r="L961" s="19"/>
      <c r="O961" s="2"/>
      <c r="P961" s="3"/>
      <c r="Q961" s="2"/>
      <c r="R961" s="2"/>
      <c r="S961" s="3"/>
      <c r="T961" s="3"/>
      <c r="U961" s="4"/>
      <c r="W961" s="6"/>
    </row>
    <row r="962" spans="1:23" ht="15" thickBot="1" x14ac:dyDescent="0.35">
      <c r="A962" s="2">
        <v>28</v>
      </c>
      <c r="B962" s="3" t="s">
        <v>14</v>
      </c>
      <c r="C962" s="2">
        <v>35.4</v>
      </c>
      <c r="D962" s="2">
        <v>0</v>
      </c>
      <c r="E962" s="3" t="s">
        <v>16</v>
      </c>
      <c r="F962" s="3" t="s">
        <v>9</v>
      </c>
      <c r="G962" s="4">
        <v>3268.85</v>
      </c>
      <c r="H962">
        <f t="shared" si="29"/>
        <v>1</v>
      </c>
      <c r="I962" s="6">
        <f t="shared" si="30"/>
        <v>3268.85</v>
      </c>
      <c r="L962" s="19"/>
      <c r="O962" s="2"/>
      <c r="P962" s="3"/>
      <c r="Q962" s="2"/>
      <c r="R962" s="2"/>
      <c r="S962" s="3"/>
      <c r="T962" s="3"/>
      <c r="U962" s="4"/>
      <c r="W962" s="6"/>
    </row>
    <row r="963" spans="1:23" ht="15" thickBot="1" x14ac:dyDescent="0.35">
      <c r="A963" s="2">
        <v>28</v>
      </c>
      <c r="B963" s="3" t="s">
        <v>14</v>
      </c>
      <c r="C963" s="2">
        <v>23.8</v>
      </c>
      <c r="D963" s="2">
        <v>2</v>
      </c>
      <c r="E963" s="3" t="s">
        <v>16</v>
      </c>
      <c r="F963" s="3" t="s">
        <v>8</v>
      </c>
      <c r="G963" s="4">
        <v>3847.67</v>
      </c>
      <c r="H963">
        <f t="shared" ref="H963:H1026" si="31">D963+1</f>
        <v>3</v>
      </c>
      <c r="I963" s="6">
        <f t="shared" ref="I963:I1026" si="32">G963/H963</f>
        <v>1282.5566666666666</v>
      </c>
      <c r="L963" s="19"/>
      <c r="O963" s="2"/>
      <c r="P963" s="3"/>
      <c r="Q963" s="2"/>
      <c r="R963" s="2"/>
      <c r="S963" s="3"/>
      <c r="T963" s="3"/>
      <c r="U963" s="4"/>
      <c r="W963" s="6"/>
    </row>
    <row r="964" spans="1:23" ht="15" thickBot="1" x14ac:dyDescent="0.35">
      <c r="A964" s="2">
        <v>28</v>
      </c>
      <c r="B964" s="3" t="s">
        <v>14</v>
      </c>
      <c r="C964" s="2">
        <v>27</v>
      </c>
      <c r="D964" s="2">
        <v>2</v>
      </c>
      <c r="E964" s="3" t="s">
        <v>16</v>
      </c>
      <c r="F964" s="3" t="s">
        <v>9</v>
      </c>
      <c r="G964" s="4">
        <v>4435.09</v>
      </c>
      <c r="H964">
        <f t="shared" si="31"/>
        <v>3</v>
      </c>
      <c r="I964" s="6">
        <f t="shared" si="32"/>
        <v>1478.3633333333335</v>
      </c>
      <c r="L964" s="19"/>
      <c r="O964" s="2"/>
      <c r="P964" s="3"/>
      <c r="Q964" s="2"/>
      <c r="R964" s="2"/>
      <c r="S964" s="3"/>
      <c r="T964" s="3"/>
      <c r="U964" s="4"/>
      <c r="W964" s="6"/>
    </row>
    <row r="965" spans="1:23" ht="15" thickBot="1" x14ac:dyDescent="0.35">
      <c r="A965" s="2">
        <v>28</v>
      </c>
      <c r="B965" s="3" t="s">
        <v>14</v>
      </c>
      <c r="C965" s="2">
        <v>30.9</v>
      </c>
      <c r="D965" s="2">
        <v>0</v>
      </c>
      <c r="E965" s="3" t="s">
        <v>16</v>
      </c>
      <c r="F965" s="3" t="s">
        <v>7</v>
      </c>
      <c r="G965" s="4">
        <v>3062.51</v>
      </c>
      <c r="H965">
        <f t="shared" si="31"/>
        <v>1</v>
      </c>
      <c r="I965" s="6">
        <f t="shared" si="32"/>
        <v>3062.51</v>
      </c>
      <c r="L965" s="19"/>
      <c r="O965" s="2"/>
      <c r="P965" s="3"/>
      <c r="Q965" s="2"/>
      <c r="R965" s="2"/>
      <c r="S965" s="3"/>
      <c r="T965" s="3"/>
      <c r="U965" s="4"/>
      <c r="W965" s="6"/>
    </row>
    <row r="966" spans="1:23" ht="15" thickBot="1" x14ac:dyDescent="0.35">
      <c r="A966" s="2">
        <v>28</v>
      </c>
      <c r="B966" s="3" t="s">
        <v>14</v>
      </c>
      <c r="C966" s="2">
        <v>22.5</v>
      </c>
      <c r="D966" s="2">
        <v>2</v>
      </c>
      <c r="E966" s="3" t="s">
        <v>16</v>
      </c>
      <c r="F966" s="3" t="s">
        <v>9</v>
      </c>
      <c r="G966" s="4">
        <v>4428.8900000000003</v>
      </c>
      <c r="H966">
        <f t="shared" si="31"/>
        <v>3</v>
      </c>
      <c r="I966" s="6">
        <f t="shared" si="32"/>
        <v>1476.2966666666669</v>
      </c>
      <c r="L966" s="19"/>
      <c r="O966" s="2"/>
      <c r="P966" s="3"/>
      <c r="Q966" s="2"/>
      <c r="R966" s="2"/>
      <c r="S966" s="3"/>
      <c r="T966" s="3"/>
      <c r="U966" s="4"/>
      <c r="W966" s="6"/>
    </row>
    <row r="967" spans="1:23" ht="15" thickBot="1" x14ac:dyDescent="0.35">
      <c r="A967" s="2">
        <v>28</v>
      </c>
      <c r="B967" s="3" t="s">
        <v>15</v>
      </c>
      <c r="C967" s="2">
        <v>23.8</v>
      </c>
      <c r="D967" s="2">
        <v>2</v>
      </c>
      <c r="E967" s="3" t="s">
        <v>16</v>
      </c>
      <c r="F967" s="3" t="s">
        <v>7</v>
      </c>
      <c r="G967" s="4">
        <v>4719.74</v>
      </c>
      <c r="H967">
        <f t="shared" si="31"/>
        <v>3</v>
      </c>
      <c r="I967" s="6">
        <f t="shared" si="32"/>
        <v>1573.2466666666667</v>
      </c>
      <c r="L967" s="19"/>
      <c r="O967" s="2"/>
      <c r="P967" s="3"/>
      <c r="Q967" s="2"/>
      <c r="R967" s="2"/>
      <c r="S967" s="3"/>
      <c r="T967" s="3"/>
      <c r="U967" s="4"/>
      <c r="W967" s="6"/>
    </row>
    <row r="968" spans="1:23" ht="15" thickBot="1" x14ac:dyDescent="0.35">
      <c r="A968" s="2">
        <v>28</v>
      </c>
      <c r="B968" s="3" t="s">
        <v>14</v>
      </c>
      <c r="C968" s="2">
        <v>29.3</v>
      </c>
      <c r="D968" s="2">
        <v>2</v>
      </c>
      <c r="E968" s="3" t="s">
        <v>16</v>
      </c>
      <c r="F968" s="3" t="s">
        <v>9</v>
      </c>
      <c r="G968" s="4">
        <v>4438.26</v>
      </c>
      <c r="H968">
        <f t="shared" si="31"/>
        <v>3</v>
      </c>
      <c r="I968" s="6">
        <f t="shared" si="32"/>
        <v>1479.42</v>
      </c>
      <c r="L968" s="19"/>
      <c r="O968" s="2"/>
      <c r="P968" s="3"/>
      <c r="Q968" s="2"/>
      <c r="R968" s="2"/>
      <c r="S968" s="3"/>
      <c r="T968" s="3"/>
      <c r="U968" s="4"/>
      <c r="W968" s="6"/>
    </row>
    <row r="969" spans="1:23" ht="15" thickBot="1" x14ac:dyDescent="0.35">
      <c r="A969" s="2">
        <v>28</v>
      </c>
      <c r="B969" s="3" t="s">
        <v>15</v>
      </c>
      <c r="C969" s="2">
        <v>25.8</v>
      </c>
      <c r="D969" s="2">
        <v>0</v>
      </c>
      <c r="E969" s="3" t="s">
        <v>16</v>
      </c>
      <c r="F969" s="3" t="s">
        <v>8</v>
      </c>
      <c r="G969" s="4">
        <v>3161.45</v>
      </c>
      <c r="H969">
        <f t="shared" si="31"/>
        <v>1</v>
      </c>
      <c r="I969" s="6">
        <f t="shared" si="32"/>
        <v>3161.45</v>
      </c>
      <c r="L969" s="19"/>
      <c r="O969" s="2"/>
      <c r="P969" s="3"/>
      <c r="Q969" s="2"/>
      <c r="R969" s="2"/>
      <c r="S969" s="3"/>
      <c r="T969" s="3"/>
      <c r="U969" s="4"/>
      <c r="W969" s="6"/>
    </row>
    <row r="970" spans="1:23" ht="15" thickBot="1" x14ac:dyDescent="0.35">
      <c r="A970" s="2">
        <v>28</v>
      </c>
      <c r="B970" s="3" t="s">
        <v>14</v>
      </c>
      <c r="C970" s="2">
        <v>31.7</v>
      </c>
      <c r="D970" s="2">
        <v>0</v>
      </c>
      <c r="E970" s="3" t="s">
        <v>17</v>
      </c>
      <c r="F970" s="3" t="s">
        <v>10</v>
      </c>
      <c r="G970" s="4">
        <v>34672.15</v>
      </c>
      <c r="H970">
        <f t="shared" si="31"/>
        <v>1</v>
      </c>
      <c r="I970" s="6">
        <f t="shared" si="32"/>
        <v>34672.15</v>
      </c>
      <c r="L970" s="19"/>
      <c r="O970" s="2"/>
      <c r="P970" s="3"/>
      <c r="Q970" s="2"/>
      <c r="R970" s="2"/>
      <c r="S970" s="3"/>
      <c r="T970" s="3"/>
      <c r="U970" s="4"/>
      <c r="W970" s="6"/>
    </row>
    <row r="971" spans="1:23" ht="15" thickBot="1" x14ac:dyDescent="0.35">
      <c r="A971" s="2">
        <v>28</v>
      </c>
      <c r="B971" s="3" t="s">
        <v>15</v>
      </c>
      <c r="C971" s="2">
        <v>26.3</v>
      </c>
      <c r="D971" s="2">
        <v>3</v>
      </c>
      <c r="E971" s="3" t="s">
        <v>16</v>
      </c>
      <c r="F971" s="3" t="s">
        <v>7</v>
      </c>
      <c r="G971" s="4">
        <v>5312.17</v>
      </c>
      <c r="H971">
        <f t="shared" si="31"/>
        <v>4</v>
      </c>
      <c r="I971" s="6">
        <f t="shared" si="32"/>
        <v>1328.0425</v>
      </c>
      <c r="L971" s="19"/>
      <c r="O971" s="2"/>
      <c r="P971" s="3"/>
      <c r="Q971" s="2"/>
      <c r="R971" s="2"/>
      <c r="S971" s="3"/>
      <c r="T971" s="3"/>
      <c r="U971" s="4"/>
      <c r="W971" s="6"/>
    </row>
    <row r="972" spans="1:23" ht="15" thickBot="1" x14ac:dyDescent="0.35">
      <c r="A972" s="2">
        <v>28</v>
      </c>
      <c r="B972" s="3" t="s">
        <v>14</v>
      </c>
      <c r="C972" s="2">
        <v>33.799999999999997</v>
      </c>
      <c r="D972" s="2">
        <v>0</v>
      </c>
      <c r="E972" s="3" t="s">
        <v>16</v>
      </c>
      <c r="F972" s="3" t="s">
        <v>7</v>
      </c>
      <c r="G972" s="4">
        <v>19673.34</v>
      </c>
      <c r="H972">
        <f t="shared" si="31"/>
        <v>1</v>
      </c>
      <c r="I972" s="6">
        <f t="shared" si="32"/>
        <v>19673.34</v>
      </c>
      <c r="L972" s="19"/>
      <c r="O972" s="2"/>
      <c r="P972" s="3"/>
      <c r="Q972" s="2"/>
      <c r="R972" s="2"/>
      <c r="S972" s="3"/>
      <c r="T972" s="3"/>
      <c r="U972" s="4"/>
      <c r="W972" s="6"/>
    </row>
    <row r="973" spans="1:23" ht="15" thickBot="1" x14ac:dyDescent="0.35">
      <c r="A973" s="2">
        <v>28</v>
      </c>
      <c r="B973" s="3" t="s">
        <v>15</v>
      </c>
      <c r="C973" s="2">
        <v>33.1</v>
      </c>
      <c r="D973" s="2">
        <v>0</v>
      </c>
      <c r="E973" s="3" t="s">
        <v>16</v>
      </c>
      <c r="F973" s="3" t="s">
        <v>10</v>
      </c>
      <c r="G973" s="4">
        <v>3171.61</v>
      </c>
      <c r="H973">
        <f t="shared" si="31"/>
        <v>1</v>
      </c>
      <c r="I973" s="6">
        <f t="shared" si="32"/>
        <v>3171.61</v>
      </c>
      <c r="L973" s="19"/>
      <c r="O973" s="2"/>
      <c r="P973" s="3"/>
      <c r="Q973" s="2"/>
      <c r="R973" s="2"/>
      <c r="S973" s="3"/>
      <c r="T973" s="3"/>
      <c r="U973" s="4"/>
      <c r="W973" s="6"/>
    </row>
    <row r="974" spans="1:23" ht="15" thickBot="1" x14ac:dyDescent="0.35">
      <c r="A974" s="2">
        <v>28</v>
      </c>
      <c r="B974" s="3" t="s">
        <v>14</v>
      </c>
      <c r="C974" s="2">
        <v>24.3</v>
      </c>
      <c r="D974" s="2">
        <v>5</v>
      </c>
      <c r="E974" s="3" t="s">
        <v>16</v>
      </c>
      <c r="F974" s="3" t="s">
        <v>8</v>
      </c>
      <c r="G974" s="4">
        <v>5615.37</v>
      </c>
      <c r="H974">
        <f t="shared" si="31"/>
        <v>6</v>
      </c>
      <c r="I974" s="6">
        <f t="shared" si="32"/>
        <v>935.89499999999998</v>
      </c>
      <c r="L974" s="19"/>
      <c r="O974" s="2"/>
      <c r="P974" s="3"/>
      <c r="Q974" s="2"/>
      <c r="R974" s="2"/>
      <c r="S974" s="3"/>
      <c r="T974" s="3"/>
      <c r="U974" s="4"/>
      <c r="W974" s="6"/>
    </row>
    <row r="975" spans="1:23" ht="15" thickBot="1" x14ac:dyDescent="0.35">
      <c r="A975" s="2">
        <v>28</v>
      </c>
      <c r="B975" s="3" t="s">
        <v>14</v>
      </c>
      <c r="C975" s="2">
        <v>37.1</v>
      </c>
      <c r="D975" s="2">
        <v>1</v>
      </c>
      <c r="E975" s="3" t="s">
        <v>16</v>
      </c>
      <c r="F975" s="3" t="s">
        <v>8</v>
      </c>
      <c r="G975" s="4">
        <v>3277.16</v>
      </c>
      <c r="H975">
        <f t="shared" si="31"/>
        <v>2</v>
      </c>
      <c r="I975" s="6">
        <f t="shared" si="32"/>
        <v>1638.58</v>
      </c>
      <c r="L975" s="19"/>
      <c r="O975" s="2"/>
      <c r="P975" s="3"/>
      <c r="Q975" s="2"/>
      <c r="R975" s="2"/>
      <c r="S975" s="3"/>
      <c r="T975" s="3"/>
      <c r="U975" s="4"/>
      <c r="W975" s="6"/>
    </row>
    <row r="976" spans="1:23" ht="15" thickBot="1" x14ac:dyDescent="0.35">
      <c r="A976" s="2">
        <v>28</v>
      </c>
      <c r="B976" s="3" t="s">
        <v>15</v>
      </c>
      <c r="C976" s="2">
        <v>17.3</v>
      </c>
      <c r="D976" s="2">
        <v>0</v>
      </c>
      <c r="E976" s="3" t="s">
        <v>16</v>
      </c>
      <c r="F976" s="3" t="s">
        <v>9</v>
      </c>
      <c r="G976" s="4">
        <v>3732.63</v>
      </c>
      <c r="H976">
        <f t="shared" si="31"/>
        <v>1</v>
      </c>
      <c r="I976" s="6">
        <f t="shared" si="32"/>
        <v>3732.63</v>
      </c>
      <c r="L976" s="19"/>
      <c r="O976" s="2"/>
      <c r="P976" s="3"/>
      <c r="Q976" s="2"/>
      <c r="R976" s="2"/>
      <c r="S976" s="3"/>
      <c r="T976" s="3"/>
      <c r="U976" s="4"/>
      <c r="W976" s="6"/>
    </row>
    <row r="977" spans="1:23" ht="15" thickBot="1" x14ac:dyDescent="0.35">
      <c r="A977" s="2">
        <v>28</v>
      </c>
      <c r="B977" s="3" t="s">
        <v>15</v>
      </c>
      <c r="C977" s="2">
        <v>26.5</v>
      </c>
      <c r="D977" s="2">
        <v>2</v>
      </c>
      <c r="E977" s="3" t="s">
        <v>16</v>
      </c>
      <c r="F977" s="3" t="s">
        <v>10</v>
      </c>
      <c r="G977" s="4">
        <v>4340.4399999999996</v>
      </c>
      <c r="H977">
        <f t="shared" si="31"/>
        <v>3</v>
      </c>
      <c r="I977" s="6">
        <f t="shared" si="32"/>
        <v>1446.8133333333333</v>
      </c>
      <c r="L977" s="19"/>
      <c r="O977" s="2"/>
      <c r="P977" s="3"/>
      <c r="Q977" s="2"/>
      <c r="R977" s="2"/>
      <c r="S977" s="3"/>
      <c r="T977" s="3"/>
      <c r="U977" s="4"/>
      <c r="W977" s="6"/>
    </row>
    <row r="978" spans="1:23" ht="15" thickBot="1" x14ac:dyDescent="0.35">
      <c r="A978" s="2">
        <v>27</v>
      </c>
      <c r="B978" s="3" t="s">
        <v>14</v>
      </c>
      <c r="C978" s="2">
        <v>42.1</v>
      </c>
      <c r="D978" s="2">
        <v>0</v>
      </c>
      <c r="E978" s="3" t="s">
        <v>17</v>
      </c>
      <c r="F978" s="3" t="s">
        <v>10</v>
      </c>
      <c r="G978" s="4">
        <v>39611.760000000002</v>
      </c>
      <c r="H978">
        <f t="shared" si="31"/>
        <v>1</v>
      </c>
      <c r="I978" s="6">
        <f t="shared" si="32"/>
        <v>39611.760000000002</v>
      </c>
      <c r="L978" s="19"/>
      <c r="O978" s="2"/>
      <c r="P978" s="3"/>
      <c r="Q978" s="2"/>
      <c r="R978" s="2"/>
      <c r="S978" s="3"/>
      <c r="T978" s="3"/>
      <c r="U978" s="4"/>
      <c r="W978" s="6"/>
    </row>
    <row r="979" spans="1:23" ht="15" thickBot="1" x14ac:dyDescent="0.35">
      <c r="A979" s="2">
        <v>27</v>
      </c>
      <c r="B979" s="3" t="s">
        <v>15</v>
      </c>
      <c r="C979" s="2">
        <v>24.8</v>
      </c>
      <c r="D979" s="2">
        <v>0</v>
      </c>
      <c r="E979" s="3" t="s">
        <v>17</v>
      </c>
      <c r="F979" s="3" t="s">
        <v>10</v>
      </c>
      <c r="G979" s="4">
        <v>16577.78</v>
      </c>
      <c r="H979">
        <f t="shared" si="31"/>
        <v>1</v>
      </c>
      <c r="I979" s="6">
        <f t="shared" si="32"/>
        <v>16577.78</v>
      </c>
      <c r="L979" s="19"/>
      <c r="O979" s="2"/>
      <c r="P979" s="3"/>
      <c r="Q979" s="2"/>
      <c r="R979" s="2"/>
      <c r="S979" s="3"/>
      <c r="T979" s="3"/>
      <c r="U979" s="4"/>
      <c r="W979" s="6"/>
    </row>
    <row r="980" spans="1:23" ht="15" thickBot="1" x14ac:dyDescent="0.35">
      <c r="A980" s="2">
        <v>27</v>
      </c>
      <c r="B980" s="3" t="s">
        <v>14</v>
      </c>
      <c r="C980" s="2">
        <v>18.899999999999999</v>
      </c>
      <c r="D980" s="2">
        <v>3</v>
      </c>
      <c r="E980" s="3" t="s">
        <v>16</v>
      </c>
      <c r="F980" s="3" t="s">
        <v>9</v>
      </c>
      <c r="G980" s="4">
        <v>4827.8999999999996</v>
      </c>
      <c r="H980">
        <f t="shared" si="31"/>
        <v>4</v>
      </c>
      <c r="I980" s="6">
        <f t="shared" si="32"/>
        <v>1206.9749999999999</v>
      </c>
      <c r="L980" s="19"/>
      <c r="O980" s="2"/>
      <c r="P980" s="3"/>
      <c r="Q980" s="2"/>
      <c r="R980" s="2"/>
      <c r="S980" s="3"/>
      <c r="T980" s="3"/>
      <c r="U980" s="4"/>
      <c r="W980" s="6"/>
    </row>
    <row r="981" spans="1:23" ht="15" thickBot="1" x14ac:dyDescent="0.35">
      <c r="A981" s="2">
        <v>27</v>
      </c>
      <c r="B981" s="3" t="s">
        <v>15</v>
      </c>
      <c r="C981" s="2">
        <v>36.1</v>
      </c>
      <c r="D981" s="2">
        <v>0</v>
      </c>
      <c r="E981" s="3" t="s">
        <v>17</v>
      </c>
      <c r="F981" s="3" t="s">
        <v>10</v>
      </c>
      <c r="G981" s="4">
        <v>37133.9</v>
      </c>
      <c r="H981">
        <f t="shared" si="31"/>
        <v>1</v>
      </c>
      <c r="I981" s="6">
        <f t="shared" si="32"/>
        <v>37133.9</v>
      </c>
      <c r="L981" s="19"/>
      <c r="O981" s="2"/>
      <c r="P981" s="3"/>
      <c r="Q981" s="2"/>
      <c r="R981" s="2"/>
      <c r="S981" s="3"/>
      <c r="T981" s="3"/>
      <c r="U981" s="4"/>
      <c r="W981" s="6"/>
    </row>
    <row r="982" spans="1:23" ht="15" thickBot="1" x14ac:dyDescent="0.35">
      <c r="A982" s="2">
        <v>27</v>
      </c>
      <c r="B982" s="3" t="s">
        <v>14</v>
      </c>
      <c r="C982" s="2">
        <v>23.1</v>
      </c>
      <c r="D982" s="2">
        <v>0</v>
      </c>
      <c r="E982" s="3" t="s">
        <v>16</v>
      </c>
      <c r="F982" s="3" t="s">
        <v>10</v>
      </c>
      <c r="G982" s="4">
        <v>2483.7399999999998</v>
      </c>
      <c r="H982">
        <f t="shared" si="31"/>
        <v>1</v>
      </c>
      <c r="I982" s="6">
        <f t="shared" si="32"/>
        <v>2483.7399999999998</v>
      </c>
      <c r="L982" s="19"/>
      <c r="O982" s="2"/>
      <c r="P982" s="3"/>
      <c r="Q982" s="2"/>
      <c r="R982" s="2"/>
      <c r="S982" s="3"/>
      <c r="T982" s="3"/>
      <c r="U982" s="4"/>
      <c r="W982" s="6"/>
    </row>
    <row r="983" spans="1:23" ht="15" thickBot="1" x14ac:dyDescent="0.35">
      <c r="A983" s="2">
        <v>27</v>
      </c>
      <c r="B983" s="3" t="s">
        <v>14</v>
      </c>
      <c r="C983" s="2">
        <v>30.3</v>
      </c>
      <c r="D983" s="2">
        <v>3</v>
      </c>
      <c r="E983" s="3" t="s">
        <v>16</v>
      </c>
      <c r="F983" s="3" t="s">
        <v>8</v>
      </c>
      <c r="G983" s="4">
        <v>4260.74</v>
      </c>
      <c r="H983">
        <f t="shared" si="31"/>
        <v>4</v>
      </c>
      <c r="I983" s="6">
        <f t="shared" si="32"/>
        <v>1065.1849999999999</v>
      </c>
      <c r="L983" s="19"/>
      <c r="O983" s="2"/>
      <c r="P983" s="3"/>
      <c r="Q983" s="2"/>
      <c r="R983" s="2"/>
      <c r="S983" s="3"/>
      <c r="T983" s="3"/>
      <c r="U983" s="4"/>
      <c r="W983" s="6"/>
    </row>
    <row r="984" spans="1:23" ht="15" thickBot="1" x14ac:dyDescent="0.35">
      <c r="A984" s="2">
        <v>27</v>
      </c>
      <c r="B984" s="3" t="s">
        <v>15</v>
      </c>
      <c r="C984" s="2">
        <v>31.4</v>
      </c>
      <c r="D984" s="2">
        <v>0</v>
      </c>
      <c r="E984" s="3" t="s">
        <v>17</v>
      </c>
      <c r="F984" s="3" t="s">
        <v>8</v>
      </c>
      <c r="G984" s="4">
        <v>34838.870000000003</v>
      </c>
      <c r="H984">
        <f t="shared" si="31"/>
        <v>1</v>
      </c>
      <c r="I984" s="6">
        <f t="shared" si="32"/>
        <v>34838.870000000003</v>
      </c>
      <c r="L984" s="19"/>
      <c r="O984" s="2"/>
      <c r="P984" s="3"/>
      <c r="Q984" s="2"/>
      <c r="R984" s="2"/>
      <c r="S984" s="3"/>
      <c r="T984" s="3"/>
      <c r="U984" s="4"/>
      <c r="W984" s="6"/>
    </row>
    <row r="985" spans="1:23" ht="15" thickBot="1" x14ac:dyDescent="0.35">
      <c r="A985" s="2">
        <v>27</v>
      </c>
      <c r="B985" s="3" t="s">
        <v>15</v>
      </c>
      <c r="C985" s="2">
        <v>23.2</v>
      </c>
      <c r="D985" s="2">
        <v>1</v>
      </c>
      <c r="E985" s="3" t="s">
        <v>16</v>
      </c>
      <c r="F985" s="3" t="s">
        <v>10</v>
      </c>
      <c r="G985" s="4">
        <v>3561.89</v>
      </c>
      <c r="H985">
        <f t="shared" si="31"/>
        <v>2</v>
      </c>
      <c r="I985" s="6">
        <f t="shared" si="32"/>
        <v>1780.9449999999999</v>
      </c>
      <c r="L985" s="19"/>
      <c r="O985" s="2"/>
      <c r="P985" s="3"/>
      <c r="Q985" s="2"/>
      <c r="R985" s="2"/>
      <c r="S985" s="3"/>
      <c r="T985" s="3"/>
      <c r="U985" s="4"/>
      <c r="W985" s="6"/>
    </row>
    <row r="986" spans="1:23" ht="15" thickBot="1" x14ac:dyDescent="0.35">
      <c r="A986" s="2">
        <v>27</v>
      </c>
      <c r="B986" s="3" t="s">
        <v>15</v>
      </c>
      <c r="C986" s="2">
        <v>18</v>
      </c>
      <c r="D986" s="2">
        <v>2</v>
      </c>
      <c r="E986" s="3" t="s">
        <v>17</v>
      </c>
      <c r="F986" s="3" t="s">
        <v>9</v>
      </c>
      <c r="G986" s="4">
        <v>15006.58</v>
      </c>
      <c r="H986">
        <f t="shared" si="31"/>
        <v>3</v>
      </c>
      <c r="I986" s="6">
        <f t="shared" si="32"/>
        <v>5002.1933333333336</v>
      </c>
      <c r="L986" s="19"/>
      <c r="O986" s="2"/>
      <c r="P986" s="3"/>
      <c r="Q986" s="2"/>
      <c r="R986" s="2"/>
      <c r="S986" s="3"/>
      <c r="T986" s="3"/>
      <c r="U986" s="4"/>
      <c r="W986" s="6"/>
    </row>
    <row r="987" spans="1:23" ht="15" thickBot="1" x14ac:dyDescent="0.35">
      <c r="A987" s="2">
        <v>27</v>
      </c>
      <c r="B987" s="3" t="s">
        <v>15</v>
      </c>
      <c r="C987" s="2">
        <v>30.4</v>
      </c>
      <c r="D987" s="2">
        <v>3</v>
      </c>
      <c r="E987" s="3" t="s">
        <v>16</v>
      </c>
      <c r="F987" s="3" t="s">
        <v>7</v>
      </c>
      <c r="G987" s="4">
        <v>18804.75</v>
      </c>
      <c r="H987">
        <f t="shared" si="31"/>
        <v>4</v>
      </c>
      <c r="I987" s="6">
        <f t="shared" si="32"/>
        <v>4701.1875</v>
      </c>
      <c r="L987" s="19"/>
      <c r="O987" s="2"/>
      <c r="P987" s="3"/>
      <c r="Q987" s="2"/>
      <c r="R987" s="2"/>
      <c r="S987" s="3"/>
      <c r="T987" s="3"/>
      <c r="U987" s="4"/>
      <c r="W987" s="6"/>
    </row>
    <row r="988" spans="1:23" ht="15" thickBot="1" x14ac:dyDescent="0.35">
      <c r="A988" s="2">
        <v>27</v>
      </c>
      <c r="B988" s="3" t="s">
        <v>14</v>
      </c>
      <c r="C988" s="2">
        <v>32.700000000000003</v>
      </c>
      <c r="D988" s="2">
        <v>0</v>
      </c>
      <c r="E988" s="3" t="s">
        <v>16</v>
      </c>
      <c r="F988" s="3" t="s">
        <v>10</v>
      </c>
      <c r="G988" s="4">
        <v>2497.04</v>
      </c>
      <c r="H988">
        <f t="shared" si="31"/>
        <v>1</v>
      </c>
      <c r="I988" s="6">
        <f t="shared" si="32"/>
        <v>2497.04</v>
      </c>
      <c r="L988" s="19"/>
      <c r="O988" s="2"/>
      <c r="P988" s="3"/>
      <c r="Q988" s="2"/>
      <c r="R988" s="2"/>
      <c r="S988" s="3"/>
      <c r="T988" s="3"/>
      <c r="U988" s="4"/>
      <c r="W988" s="6"/>
    </row>
    <row r="989" spans="1:23" ht="15" thickBot="1" x14ac:dyDescent="0.35">
      <c r="A989" s="2">
        <v>27</v>
      </c>
      <c r="B989" s="3" t="s">
        <v>14</v>
      </c>
      <c r="C989" s="2">
        <v>33.700000000000003</v>
      </c>
      <c r="D989" s="2">
        <v>0</v>
      </c>
      <c r="E989" s="3" t="s">
        <v>16</v>
      </c>
      <c r="F989" s="3" t="s">
        <v>10</v>
      </c>
      <c r="G989" s="4">
        <v>2498.41</v>
      </c>
      <c r="H989">
        <f t="shared" si="31"/>
        <v>1</v>
      </c>
      <c r="I989" s="6">
        <f t="shared" si="32"/>
        <v>2498.41</v>
      </c>
      <c r="L989" s="19"/>
      <c r="O989" s="2"/>
      <c r="P989" s="3"/>
      <c r="Q989" s="2"/>
      <c r="R989" s="2"/>
      <c r="S989" s="3"/>
      <c r="T989" s="3"/>
      <c r="U989" s="4"/>
      <c r="W989" s="6"/>
    </row>
    <row r="990" spans="1:23" ht="15" thickBot="1" x14ac:dyDescent="0.35">
      <c r="A990" s="2">
        <v>27</v>
      </c>
      <c r="B990" s="3" t="s">
        <v>14</v>
      </c>
      <c r="C990" s="2">
        <v>30.5</v>
      </c>
      <c r="D990" s="2">
        <v>0</v>
      </c>
      <c r="E990" s="3" t="s">
        <v>16</v>
      </c>
      <c r="F990" s="3" t="s">
        <v>8</v>
      </c>
      <c r="G990" s="4">
        <v>2494.02</v>
      </c>
      <c r="H990">
        <f t="shared" si="31"/>
        <v>1</v>
      </c>
      <c r="I990" s="6">
        <f t="shared" si="32"/>
        <v>2494.02</v>
      </c>
      <c r="L990" s="19"/>
      <c r="O990" s="2"/>
      <c r="P990" s="3"/>
      <c r="Q990" s="2"/>
      <c r="R990" s="2"/>
      <c r="S990" s="3"/>
      <c r="T990" s="3"/>
      <c r="U990" s="4"/>
      <c r="W990" s="6"/>
    </row>
    <row r="991" spans="1:23" ht="15" thickBot="1" x14ac:dyDescent="0.35">
      <c r="A991" s="2">
        <v>27</v>
      </c>
      <c r="B991" s="3" t="s">
        <v>15</v>
      </c>
      <c r="C991" s="2">
        <v>25.2</v>
      </c>
      <c r="D991" s="2">
        <v>0</v>
      </c>
      <c r="E991" s="3" t="s">
        <v>16</v>
      </c>
      <c r="F991" s="3" t="s">
        <v>9</v>
      </c>
      <c r="G991" s="4">
        <v>3558.62</v>
      </c>
      <c r="H991">
        <f t="shared" si="31"/>
        <v>1</v>
      </c>
      <c r="I991" s="6">
        <f t="shared" si="32"/>
        <v>3558.62</v>
      </c>
      <c r="L991" s="19"/>
      <c r="O991" s="2"/>
      <c r="P991" s="3"/>
      <c r="Q991" s="2"/>
      <c r="R991" s="2"/>
      <c r="S991" s="3"/>
      <c r="T991" s="3"/>
      <c r="U991" s="4"/>
      <c r="W991" s="6"/>
    </row>
    <row r="992" spans="1:23" ht="15" thickBot="1" x14ac:dyDescent="0.35">
      <c r="A992" s="2">
        <v>27</v>
      </c>
      <c r="B992" s="3" t="s">
        <v>14</v>
      </c>
      <c r="C992" s="2">
        <v>33.200000000000003</v>
      </c>
      <c r="D992" s="2">
        <v>2</v>
      </c>
      <c r="E992" s="3" t="s">
        <v>16</v>
      </c>
      <c r="F992" s="3" t="s">
        <v>7</v>
      </c>
      <c r="G992" s="4">
        <v>4058.71</v>
      </c>
      <c r="H992">
        <f t="shared" si="31"/>
        <v>3</v>
      </c>
      <c r="I992" s="6">
        <f t="shared" si="32"/>
        <v>1352.9033333333334</v>
      </c>
      <c r="L992" s="19"/>
      <c r="O992" s="2"/>
      <c r="P992" s="3"/>
      <c r="Q992" s="2"/>
      <c r="R992" s="2"/>
      <c r="S992" s="3"/>
      <c r="T992" s="3"/>
      <c r="U992" s="4"/>
      <c r="W992" s="6"/>
    </row>
    <row r="993" spans="1:23" ht="15" thickBot="1" x14ac:dyDescent="0.35">
      <c r="A993" s="2">
        <v>27</v>
      </c>
      <c r="B993" s="3" t="s">
        <v>14</v>
      </c>
      <c r="C993" s="2">
        <v>31.1</v>
      </c>
      <c r="D993" s="2">
        <v>1</v>
      </c>
      <c r="E993" s="3" t="s">
        <v>17</v>
      </c>
      <c r="F993" s="3" t="s">
        <v>10</v>
      </c>
      <c r="G993" s="4">
        <v>34806.47</v>
      </c>
      <c r="H993">
        <f t="shared" si="31"/>
        <v>2</v>
      </c>
      <c r="I993" s="6">
        <f t="shared" si="32"/>
        <v>17403.235000000001</v>
      </c>
      <c r="L993" s="19"/>
      <c r="O993" s="2"/>
      <c r="P993" s="3"/>
      <c r="Q993" s="2"/>
      <c r="R993" s="2"/>
      <c r="S993" s="3"/>
      <c r="T993" s="3"/>
      <c r="U993" s="4"/>
      <c r="W993" s="6"/>
    </row>
    <row r="994" spans="1:23" ht="15" thickBot="1" x14ac:dyDescent="0.35">
      <c r="A994" s="2">
        <v>27</v>
      </c>
      <c r="B994" s="3" t="s">
        <v>15</v>
      </c>
      <c r="C994" s="2">
        <v>34.799999999999997</v>
      </c>
      <c r="D994" s="2">
        <v>1</v>
      </c>
      <c r="E994" s="3" t="s">
        <v>16</v>
      </c>
      <c r="F994" s="3" t="s">
        <v>8</v>
      </c>
      <c r="G994" s="4">
        <v>3578</v>
      </c>
      <c r="H994">
        <f t="shared" si="31"/>
        <v>2</v>
      </c>
      <c r="I994" s="6">
        <f t="shared" si="32"/>
        <v>1789</v>
      </c>
      <c r="L994" s="19"/>
      <c r="O994" s="2"/>
      <c r="P994" s="3"/>
      <c r="Q994" s="2"/>
      <c r="R994" s="2"/>
      <c r="S994" s="3"/>
      <c r="T994" s="3"/>
      <c r="U994" s="4"/>
      <c r="W994" s="6"/>
    </row>
    <row r="995" spans="1:23" ht="15" thickBot="1" x14ac:dyDescent="0.35">
      <c r="A995" s="2">
        <v>27</v>
      </c>
      <c r="B995" s="3" t="s">
        <v>14</v>
      </c>
      <c r="C995" s="2">
        <v>29.2</v>
      </c>
      <c r="D995" s="2">
        <v>0</v>
      </c>
      <c r="E995" s="3" t="s">
        <v>17</v>
      </c>
      <c r="F995" s="3" t="s">
        <v>10</v>
      </c>
      <c r="G995" s="4">
        <v>18246.5</v>
      </c>
      <c r="H995">
        <f t="shared" si="31"/>
        <v>1</v>
      </c>
      <c r="I995" s="6">
        <f t="shared" si="32"/>
        <v>18246.5</v>
      </c>
      <c r="L995" s="19"/>
      <c r="O995" s="2"/>
      <c r="P995" s="3"/>
      <c r="Q995" s="2"/>
      <c r="R995" s="2"/>
      <c r="S995" s="3"/>
      <c r="T995" s="3"/>
      <c r="U995" s="4"/>
      <c r="W995" s="6"/>
    </row>
    <row r="996" spans="1:23" ht="15" thickBot="1" x14ac:dyDescent="0.35">
      <c r="A996" s="2">
        <v>27</v>
      </c>
      <c r="B996" s="3" t="s">
        <v>14</v>
      </c>
      <c r="C996" s="2">
        <v>26</v>
      </c>
      <c r="D996" s="2">
        <v>0</v>
      </c>
      <c r="E996" s="3" t="s">
        <v>16</v>
      </c>
      <c r="F996" s="3" t="s">
        <v>9</v>
      </c>
      <c r="G996" s="4">
        <v>3070.81</v>
      </c>
      <c r="H996">
        <f t="shared" si="31"/>
        <v>1</v>
      </c>
      <c r="I996" s="6">
        <f t="shared" si="32"/>
        <v>3070.81</v>
      </c>
      <c r="L996" s="19"/>
      <c r="O996" s="2"/>
      <c r="P996" s="3"/>
      <c r="Q996" s="2"/>
      <c r="R996" s="2"/>
      <c r="S996" s="3"/>
      <c r="T996" s="3"/>
      <c r="U996" s="4"/>
      <c r="W996" s="6"/>
    </row>
    <row r="997" spans="1:23" ht="15" thickBot="1" x14ac:dyDescent="0.35">
      <c r="A997" s="2">
        <v>27</v>
      </c>
      <c r="B997" s="3" t="s">
        <v>14</v>
      </c>
      <c r="C997" s="2">
        <v>28.5</v>
      </c>
      <c r="D997" s="2">
        <v>0</v>
      </c>
      <c r="E997" s="3" t="s">
        <v>17</v>
      </c>
      <c r="F997" s="3" t="s">
        <v>7</v>
      </c>
      <c r="G997" s="4">
        <v>18310.740000000002</v>
      </c>
      <c r="H997">
        <f t="shared" si="31"/>
        <v>1</v>
      </c>
      <c r="I997" s="6">
        <f t="shared" si="32"/>
        <v>18310.740000000002</v>
      </c>
      <c r="L997" s="19"/>
      <c r="O997" s="2"/>
      <c r="P997" s="3"/>
      <c r="Q997" s="2"/>
      <c r="R997" s="2"/>
      <c r="S997" s="3"/>
      <c r="T997" s="3"/>
      <c r="U997" s="4"/>
      <c r="W997" s="6"/>
    </row>
    <row r="998" spans="1:23" ht="15" thickBot="1" x14ac:dyDescent="0.35">
      <c r="A998" s="2">
        <v>27</v>
      </c>
      <c r="B998" s="3" t="s">
        <v>15</v>
      </c>
      <c r="C998" s="2">
        <v>24.1</v>
      </c>
      <c r="D998" s="2">
        <v>0</v>
      </c>
      <c r="E998" s="3" t="s">
        <v>16</v>
      </c>
      <c r="F998" s="3" t="s">
        <v>8</v>
      </c>
      <c r="G998" s="4">
        <v>2974.13</v>
      </c>
      <c r="H998">
        <f t="shared" si="31"/>
        <v>1</v>
      </c>
      <c r="I998" s="6">
        <f t="shared" si="32"/>
        <v>2974.13</v>
      </c>
      <c r="L998" s="19"/>
      <c r="O998" s="2"/>
      <c r="P998" s="3"/>
      <c r="Q998" s="2"/>
      <c r="R998" s="2"/>
      <c r="S998" s="3"/>
      <c r="T998" s="3"/>
      <c r="U998" s="4"/>
      <c r="W998" s="6"/>
    </row>
    <row r="999" spans="1:23" ht="15" thickBot="1" x14ac:dyDescent="0.35">
      <c r="A999" s="2">
        <v>27</v>
      </c>
      <c r="B999" s="3" t="s">
        <v>14</v>
      </c>
      <c r="C999" s="2">
        <v>32.6</v>
      </c>
      <c r="D999" s="2">
        <v>3</v>
      </c>
      <c r="E999" s="3" t="s">
        <v>16</v>
      </c>
      <c r="F999" s="3" t="s">
        <v>9</v>
      </c>
      <c r="G999" s="4">
        <v>4846.92</v>
      </c>
      <c r="H999">
        <f t="shared" si="31"/>
        <v>4</v>
      </c>
      <c r="I999" s="6">
        <f t="shared" si="32"/>
        <v>1211.73</v>
      </c>
      <c r="L999" s="19"/>
      <c r="O999" s="2"/>
      <c r="P999" s="3"/>
      <c r="Q999" s="2"/>
      <c r="R999" s="2"/>
      <c r="S999" s="3"/>
      <c r="T999" s="3"/>
      <c r="U999" s="4"/>
      <c r="W999" s="6"/>
    </row>
    <row r="1000" spans="1:23" ht="15" thickBot="1" x14ac:dyDescent="0.35">
      <c r="A1000" s="2">
        <v>27</v>
      </c>
      <c r="B1000" s="3" t="s">
        <v>15</v>
      </c>
      <c r="C1000" s="2">
        <v>30.6</v>
      </c>
      <c r="D1000" s="2">
        <v>1</v>
      </c>
      <c r="E1000" s="3" t="s">
        <v>16</v>
      </c>
      <c r="F1000" s="3" t="s">
        <v>9</v>
      </c>
      <c r="G1000" s="4">
        <v>16796.41</v>
      </c>
      <c r="H1000">
        <f t="shared" si="31"/>
        <v>2</v>
      </c>
      <c r="I1000" s="6">
        <f t="shared" si="32"/>
        <v>8398.2049999999999</v>
      </c>
      <c r="L1000" s="19"/>
      <c r="O1000" s="2"/>
      <c r="P1000" s="3"/>
      <c r="Q1000" s="2"/>
      <c r="R1000" s="2"/>
      <c r="S1000" s="3"/>
      <c r="T1000" s="3"/>
      <c r="U1000" s="4"/>
      <c r="W1000" s="6"/>
    </row>
    <row r="1001" spans="1:23" ht="15" thickBot="1" x14ac:dyDescent="0.35">
      <c r="A1001" s="2">
        <v>27</v>
      </c>
      <c r="B1001" s="3" t="s">
        <v>15</v>
      </c>
      <c r="C1001" s="2">
        <v>20</v>
      </c>
      <c r="D1001" s="2">
        <v>3</v>
      </c>
      <c r="E1001" s="3" t="s">
        <v>17</v>
      </c>
      <c r="F1001" s="3" t="s">
        <v>7</v>
      </c>
      <c r="G1001" s="4">
        <v>16420.490000000002</v>
      </c>
      <c r="H1001">
        <f t="shared" si="31"/>
        <v>4</v>
      </c>
      <c r="I1001" s="6">
        <f t="shared" si="32"/>
        <v>4105.1225000000004</v>
      </c>
      <c r="L1001" s="19"/>
      <c r="O1001" s="2"/>
      <c r="P1001" s="3"/>
      <c r="Q1001" s="2"/>
      <c r="R1001" s="2"/>
      <c r="S1001" s="3"/>
      <c r="T1001" s="3"/>
      <c r="U1001" s="4"/>
      <c r="W1001" s="6"/>
    </row>
    <row r="1002" spans="1:23" ht="15" thickBot="1" x14ac:dyDescent="0.35">
      <c r="A1002" s="2">
        <v>27</v>
      </c>
      <c r="B1002" s="3" t="s">
        <v>15</v>
      </c>
      <c r="C1002" s="2">
        <v>21.5</v>
      </c>
      <c r="D1002" s="2">
        <v>0</v>
      </c>
      <c r="E1002" s="3" t="s">
        <v>16</v>
      </c>
      <c r="F1002" s="3" t="s">
        <v>7</v>
      </c>
      <c r="G1002" s="4">
        <v>3353.47</v>
      </c>
      <c r="H1002">
        <f t="shared" si="31"/>
        <v>1</v>
      </c>
      <c r="I1002" s="6">
        <f t="shared" si="32"/>
        <v>3353.47</v>
      </c>
      <c r="L1002" s="19"/>
      <c r="O1002" s="2"/>
      <c r="P1002" s="3"/>
      <c r="Q1002" s="2"/>
      <c r="R1002" s="2"/>
      <c r="S1002" s="3"/>
      <c r="T1002" s="3"/>
      <c r="U1002" s="4"/>
      <c r="W1002" s="6"/>
    </row>
    <row r="1003" spans="1:23" ht="15" thickBot="1" x14ac:dyDescent="0.35">
      <c r="A1003" s="2">
        <v>27</v>
      </c>
      <c r="B1003" s="3" t="s">
        <v>15</v>
      </c>
      <c r="C1003" s="2">
        <v>32.4</v>
      </c>
      <c r="D1003" s="2">
        <v>1</v>
      </c>
      <c r="E1003" s="3" t="s">
        <v>16</v>
      </c>
      <c r="F1003" s="3" t="s">
        <v>9</v>
      </c>
      <c r="G1003" s="4">
        <v>18903.490000000002</v>
      </c>
      <c r="H1003">
        <f t="shared" si="31"/>
        <v>2</v>
      </c>
      <c r="I1003" s="6">
        <f t="shared" si="32"/>
        <v>9451.7450000000008</v>
      </c>
      <c r="L1003" s="19"/>
      <c r="O1003" s="2"/>
      <c r="P1003" s="3"/>
      <c r="Q1003" s="2"/>
      <c r="R1003" s="2"/>
      <c r="S1003" s="3"/>
      <c r="T1003" s="3"/>
      <c r="U1003" s="4"/>
      <c r="W1003" s="6"/>
    </row>
    <row r="1004" spans="1:23" ht="15" thickBot="1" x14ac:dyDescent="0.35">
      <c r="A1004" s="2">
        <v>27</v>
      </c>
      <c r="B1004" s="3" t="s">
        <v>14</v>
      </c>
      <c r="C1004" s="2">
        <v>45.9</v>
      </c>
      <c r="D1004" s="2">
        <v>2</v>
      </c>
      <c r="E1004" s="3" t="s">
        <v>16</v>
      </c>
      <c r="F1004" s="3" t="s">
        <v>8</v>
      </c>
      <c r="G1004" s="4">
        <v>3693.43</v>
      </c>
      <c r="H1004">
        <f t="shared" si="31"/>
        <v>3</v>
      </c>
      <c r="I1004" s="6">
        <f t="shared" si="32"/>
        <v>1231.1433333333332</v>
      </c>
      <c r="L1004" s="19"/>
      <c r="O1004" s="2"/>
      <c r="P1004" s="3"/>
      <c r="Q1004" s="2"/>
      <c r="R1004" s="2"/>
      <c r="S1004" s="3"/>
      <c r="T1004" s="3"/>
      <c r="U1004" s="4"/>
      <c r="W1004" s="6"/>
    </row>
    <row r="1005" spans="1:23" ht="15" thickBot="1" x14ac:dyDescent="0.35">
      <c r="A1005" s="2">
        <v>27</v>
      </c>
      <c r="B1005" s="3" t="s">
        <v>15</v>
      </c>
      <c r="C1005" s="2">
        <v>31.3</v>
      </c>
      <c r="D1005" s="2">
        <v>1</v>
      </c>
      <c r="E1005" s="3" t="s">
        <v>16</v>
      </c>
      <c r="F1005" s="3" t="s">
        <v>7</v>
      </c>
      <c r="G1005" s="4">
        <v>3956.07</v>
      </c>
      <c r="H1005">
        <f t="shared" si="31"/>
        <v>2</v>
      </c>
      <c r="I1005" s="6">
        <f t="shared" si="32"/>
        <v>1978.0350000000001</v>
      </c>
      <c r="L1005" s="19"/>
      <c r="O1005" s="2"/>
      <c r="P1005" s="3"/>
      <c r="Q1005" s="2"/>
      <c r="R1005" s="2"/>
      <c r="S1005" s="3"/>
      <c r="T1005" s="3"/>
      <c r="U1005" s="4"/>
      <c r="W1005" s="6"/>
    </row>
    <row r="1006" spans="1:23" ht="15" thickBot="1" x14ac:dyDescent="0.35">
      <c r="A1006" s="2">
        <v>26</v>
      </c>
      <c r="B1006" s="3" t="s">
        <v>14</v>
      </c>
      <c r="C1006" s="2">
        <v>20.8</v>
      </c>
      <c r="D1006" s="2">
        <v>0</v>
      </c>
      <c r="E1006" s="3" t="s">
        <v>16</v>
      </c>
      <c r="F1006" s="3" t="s">
        <v>8</v>
      </c>
      <c r="G1006" s="4">
        <v>2302.3000000000002</v>
      </c>
      <c r="H1006">
        <f t="shared" si="31"/>
        <v>1</v>
      </c>
      <c r="I1006" s="6">
        <f t="shared" si="32"/>
        <v>2302.3000000000002</v>
      </c>
      <c r="L1006" s="19"/>
      <c r="O1006" s="2"/>
      <c r="P1006" s="3"/>
      <c r="Q1006" s="2"/>
      <c r="R1006" s="2"/>
      <c r="S1006" s="3"/>
      <c r="T1006" s="3"/>
      <c r="U1006" s="4"/>
      <c r="W1006" s="6"/>
    </row>
    <row r="1007" spans="1:23" ht="15" thickBot="1" x14ac:dyDescent="0.35">
      <c r="A1007" s="2">
        <v>26</v>
      </c>
      <c r="B1007" s="3" t="s">
        <v>14</v>
      </c>
      <c r="C1007" s="2">
        <v>30.9</v>
      </c>
      <c r="D1007" s="2">
        <v>2</v>
      </c>
      <c r="E1007" s="3" t="s">
        <v>16</v>
      </c>
      <c r="F1007" s="3" t="s">
        <v>7</v>
      </c>
      <c r="G1007" s="4">
        <v>3877.3</v>
      </c>
      <c r="H1007">
        <f t="shared" si="31"/>
        <v>3</v>
      </c>
      <c r="I1007" s="6">
        <f t="shared" si="32"/>
        <v>1292.4333333333334</v>
      </c>
      <c r="L1007" s="19"/>
      <c r="O1007" s="2"/>
      <c r="P1007" s="3"/>
      <c r="Q1007" s="2"/>
      <c r="R1007" s="2"/>
      <c r="S1007" s="3"/>
      <c r="T1007" s="3"/>
      <c r="U1007" s="4"/>
      <c r="W1007" s="6"/>
    </row>
    <row r="1008" spans="1:23" ht="15" thickBot="1" x14ac:dyDescent="0.35">
      <c r="A1008" s="2">
        <v>26</v>
      </c>
      <c r="B1008" s="3" t="s">
        <v>15</v>
      </c>
      <c r="C1008" s="2">
        <v>28.8</v>
      </c>
      <c r="D1008" s="2">
        <v>0</v>
      </c>
      <c r="E1008" s="3" t="s">
        <v>16</v>
      </c>
      <c r="F1008" s="3" t="s">
        <v>9</v>
      </c>
      <c r="G1008" s="4">
        <v>3385.4</v>
      </c>
      <c r="H1008">
        <f t="shared" si="31"/>
        <v>1</v>
      </c>
      <c r="I1008" s="6">
        <f t="shared" si="32"/>
        <v>3385.4</v>
      </c>
      <c r="L1008" s="19"/>
      <c r="O1008" s="2"/>
      <c r="P1008" s="3"/>
      <c r="Q1008" s="2"/>
      <c r="R1008" s="2"/>
      <c r="S1008" s="3"/>
      <c r="T1008" s="3"/>
      <c r="U1008" s="4"/>
      <c r="W1008" s="6"/>
    </row>
    <row r="1009" spans="1:23" ht="15" thickBot="1" x14ac:dyDescent="0.35">
      <c r="A1009" s="2">
        <v>26</v>
      </c>
      <c r="B1009" s="3" t="s">
        <v>14</v>
      </c>
      <c r="C1009" s="2">
        <v>32.5</v>
      </c>
      <c r="D1009" s="2">
        <v>1</v>
      </c>
      <c r="E1009" s="3" t="s">
        <v>16</v>
      </c>
      <c r="F1009" s="3" t="s">
        <v>9</v>
      </c>
      <c r="G1009" s="4">
        <v>3490.55</v>
      </c>
      <c r="H1009">
        <f t="shared" si="31"/>
        <v>2</v>
      </c>
      <c r="I1009" s="6">
        <f t="shared" si="32"/>
        <v>1745.2750000000001</v>
      </c>
      <c r="L1009" s="19"/>
      <c r="O1009" s="2"/>
      <c r="P1009" s="3"/>
      <c r="Q1009" s="2"/>
      <c r="R1009" s="2"/>
      <c r="S1009" s="3"/>
      <c r="T1009" s="3"/>
      <c r="U1009" s="4"/>
      <c r="W1009" s="6"/>
    </row>
    <row r="1010" spans="1:23" ht="15" thickBot="1" x14ac:dyDescent="0.35">
      <c r="A1010" s="2">
        <v>26</v>
      </c>
      <c r="B1010" s="3" t="s">
        <v>15</v>
      </c>
      <c r="C1010" s="2">
        <v>29.9</v>
      </c>
      <c r="D1010" s="2">
        <v>2</v>
      </c>
      <c r="E1010" s="3" t="s">
        <v>16</v>
      </c>
      <c r="F1010" s="3" t="s">
        <v>10</v>
      </c>
      <c r="G1010" s="4">
        <v>3981.98</v>
      </c>
      <c r="H1010">
        <f t="shared" si="31"/>
        <v>3</v>
      </c>
      <c r="I1010" s="6">
        <f t="shared" si="32"/>
        <v>1327.3266666666666</v>
      </c>
      <c r="L1010" s="19"/>
      <c r="O1010" s="2"/>
      <c r="P1010" s="3"/>
      <c r="Q1010" s="2"/>
      <c r="R1010" s="2"/>
      <c r="S1010" s="3"/>
      <c r="T1010" s="3"/>
      <c r="U1010" s="4"/>
      <c r="W1010" s="6"/>
    </row>
    <row r="1011" spans="1:23" ht="15" thickBot="1" x14ac:dyDescent="0.35">
      <c r="A1011" s="2">
        <v>26</v>
      </c>
      <c r="B1011" s="3" t="s">
        <v>15</v>
      </c>
      <c r="C1011" s="2">
        <v>29.9</v>
      </c>
      <c r="D1011" s="2">
        <v>1</v>
      </c>
      <c r="E1011" s="3" t="s">
        <v>16</v>
      </c>
      <c r="F1011" s="3" t="s">
        <v>10</v>
      </c>
      <c r="G1011" s="4">
        <v>3392.98</v>
      </c>
      <c r="H1011">
        <f t="shared" si="31"/>
        <v>2</v>
      </c>
      <c r="I1011" s="6">
        <f t="shared" si="32"/>
        <v>1696.49</v>
      </c>
      <c r="L1011" s="19"/>
      <c r="O1011" s="2"/>
      <c r="P1011" s="3"/>
      <c r="Q1011" s="2"/>
      <c r="R1011" s="2"/>
      <c r="S1011" s="3"/>
      <c r="T1011" s="3"/>
      <c r="U1011" s="4"/>
      <c r="W1011" s="6"/>
    </row>
    <row r="1012" spans="1:23" ht="15" thickBot="1" x14ac:dyDescent="0.35">
      <c r="A1012" s="2">
        <v>26</v>
      </c>
      <c r="B1012" s="3" t="s">
        <v>15</v>
      </c>
      <c r="C1012" s="2">
        <v>29.6</v>
      </c>
      <c r="D1012" s="2">
        <v>4</v>
      </c>
      <c r="E1012" s="3" t="s">
        <v>16</v>
      </c>
      <c r="F1012" s="3" t="s">
        <v>9</v>
      </c>
      <c r="G1012" s="4">
        <v>24671.66</v>
      </c>
      <c r="H1012">
        <f t="shared" si="31"/>
        <v>5</v>
      </c>
      <c r="I1012" s="6">
        <f t="shared" si="32"/>
        <v>4934.3320000000003</v>
      </c>
      <c r="L1012" s="19"/>
      <c r="O1012" s="2"/>
      <c r="P1012" s="3"/>
      <c r="Q1012" s="2"/>
      <c r="R1012" s="2"/>
      <c r="S1012" s="3"/>
      <c r="T1012" s="3"/>
      <c r="U1012" s="4"/>
      <c r="W1012" s="6"/>
    </row>
    <row r="1013" spans="1:23" ht="15" thickBot="1" x14ac:dyDescent="0.35">
      <c r="A1013" s="2">
        <v>26</v>
      </c>
      <c r="B1013" s="3" t="s">
        <v>14</v>
      </c>
      <c r="C1013" s="2">
        <v>32.9</v>
      </c>
      <c r="D1013" s="2">
        <v>2</v>
      </c>
      <c r="E1013" s="3" t="s">
        <v>17</v>
      </c>
      <c r="F1013" s="3" t="s">
        <v>8</v>
      </c>
      <c r="G1013" s="4">
        <v>36085.22</v>
      </c>
      <c r="H1013">
        <f t="shared" si="31"/>
        <v>3</v>
      </c>
      <c r="I1013" s="6">
        <f t="shared" si="32"/>
        <v>12028.406666666668</v>
      </c>
      <c r="L1013" s="19"/>
      <c r="O1013" s="2"/>
      <c r="P1013" s="3"/>
      <c r="Q1013" s="2"/>
      <c r="R1013" s="2"/>
      <c r="S1013" s="3"/>
      <c r="T1013" s="3"/>
      <c r="U1013" s="4"/>
      <c r="W1013" s="6"/>
    </row>
    <row r="1014" spans="1:23" ht="15" thickBot="1" x14ac:dyDescent="0.35">
      <c r="A1014" s="2">
        <v>26</v>
      </c>
      <c r="B1014" s="3" t="s">
        <v>15</v>
      </c>
      <c r="C1014" s="2">
        <v>22.6</v>
      </c>
      <c r="D1014" s="2">
        <v>0</v>
      </c>
      <c r="E1014" s="3" t="s">
        <v>16</v>
      </c>
      <c r="F1014" s="3" t="s">
        <v>7</v>
      </c>
      <c r="G1014" s="4">
        <v>3176.82</v>
      </c>
      <c r="H1014">
        <f t="shared" si="31"/>
        <v>1</v>
      </c>
      <c r="I1014" s="6">
        <f t="shared" si="32"/>
        <v>3176.82</v>
      </c>
      <c r="L1014" s="19"/>
      <c r="O1014" s="2"/>
      <c r="P1014" s="3"/>
      <c r="Q1014" s="2"/>
      <c r="R1014" s="2"/>
      <c r="S1014" s="3"/>
      <c r="T1014" s="3"/>
      <c r="U1014" s="4"/>
      <c r="W1014" s="6"/>
    </row>
    <row r="1015" spans="1:23" ht="15" thickBot="1" x14ac:dyDescent="0.35">
      <c r="A1015" s="2">
        <v>26</v>
      </c>
      <c r="B1015" s="3" t="s">
        <v>15</v>
      </c>
      <c r="C1015" s="2">
        <v>17.2</v>
      </c>
      <c r="D1015" s="2">
        <v>2</v>
      </c>
      <c r="E1015" s="3" t="s">
        <v>17</v>
      </c>
      <c r="F1015" s="3" t="s">
        <v>9</v>
      </c>
      <c r="G1015" s="4">
        <v>14455.64</v>
      </c>
      <c r="H1015">
        <f t="shared" si="31"/>
        <v>3</v>
      </c>
      <c r="I1015" s="6">
        <f t="shared" si="32"/>
        <v>4818.5466666666662</v>
      </c>
      <c r="L1015" s="19"/>
      <c r="O1015" s="2"/>
      <c r="P1015" s="3"/>
      <c r="Q1015" s="2"/>
      <c r="R1015" s="2"/>
      <c r="S1015" s="3"/>
      <c r="T1015" s="3"/>
      <c r="U1015" s="4"/>
      <c r="W1015" s="6"/>
    </row>
    <row r="1016" spans="1:23" ht="15" thickBot="1" x14ac:dyDescent="0.35">
      <c r="A1016" s="2">
        <v>26</v>
      </c>
      <c r="B1016" s="3" t="s">
        <v>14</v>
      </c>
      <c r="C1016" s="2">
        <v>29.5</v>
      </c>
      <c r="D1016" s="2">
        <v>0</v>
      </c>
      <c r="E1016" s="3" t="s">
        <v>16</v>
      </c>
      <c r="F1016" s="3" t="s">
        <v>9</v>
      </c>
      <c r="G1016" s="4">
        <v>2897.32</v>
      </c>
      <c r="H1016">
        <f t="shared" si="31"/>
        <v>1</v>
      </c>
      <c r="I1016" s="6">
        <f t="shared" si="32"/>
        <v>2897.32</v>
      </c>
      <c r="L1016" s="19"/>
      <c r="O1016" s="2"/>
      <c r="P1016" s="3"/>
      <c r="Q1016" s="2"/>
      <c r="R1016" s="2"/>
      <c r="S1016" s="3"/>
      <c r="T1016" s="3"/>
      <c r="U1016" s="4"/>
      <c r="W1016" s="6"/>
    </row>
    <row r="1017" spans="1:23" ht="15" thickBot="1" x14ac:dyDescent="0.35">
      <c r="A1017" s="2">
        <v>26</v>
      </c>
      <c r="B1017" s="3" t="s">
        <v>15</v>
      </c>
      <c r="C1017" s="2">
        <v>42.4</v>
      </c>
      <c r="D1017" s="2">
        <v>1</v>
      </c>
      <c r="E1017" s="3" t="s">
        <v>16</v>
      </c>
      <c r="F1017" s="3" t="s">
        <v>8</v>
      </c>
      <c r="G1017" s="4">
        <v>3410.32</v>
      </c>
      <c r="H1017">
        <f t="shared" si="31"/>
        <v>2</v>
      </c>
      <c r="I1017" s="6">
        <f t="shared" si="32"/>
        <v>1705.16</v>
      </c>
      <c r="L1017" s="19"/>
      <c r="O1017" s="2"/>
      <c r="P1017" s="3"/>
      <c r="Q1017" s="2"/>
      <c r="R1017" s="2"/>
      <c r="S1017" s="3"/>
      <c r="T1017" s="3"/>
      <c r="U1017" s="4"/>
      <c r="W1017" s="6"/>
    </row>
    <row r="1018" spans="1:23" ht="15" thickBot="1" x14ac:dyDescent="0.35">
      <c r="A1018" s="2">
        <v>26</v>
      </c>
      <c r="B1018" s="3" t="s">
        <v>15</v>
      </c>
      <c r="C1018" s="2">
        <v>40.200000000000003</v>
      </c>
      <c r="D1018" s="2">
        <v>0</v>
      </c>
      <c r="E1018" s="3" t="s">
        <v>16</v>
      </c>
      <c r="F1018" s="3" t="s">
        <v>7</v>
      </c>
      <c r="G1018" s="4">
        <v>3201.25</v>
      </c>
      <c r="H1018">
        <f t="shared" si="31"/>
        <v>1</v>
      </c>
      <c r="I1018" s="6">
        <f t="shared" si="32"/>
        <v>3201.25</v>
      </c>
      <c r="L1018" s="19"/>
      <c r="O1018" s="2"/>
      <c r="P1018" s="3"/>
      <c r="Q1018" s="2"/>
      <c r="R1018" s="2"/>
      <c r="S1018" s="3"/>
      <c r="T1018" s="3"/>
      <c r="U1018" s="4"/>
      <c r="W1018" s="6"/>
    </row>
    <row r="1019" spans="1:23" ht="15" thickBot="1" x14ac:dyDescent="0.35">
      <c r="A1019" s="2">
        <v>26</v>
      </c>
      <c r="B1019" s="3" t="s">
        <v>14</v>
      </c>
      <c r="C1019" s="2">
        <v>23.7</v>
      </c>
      <c r="D1019" s="2">
        <v>2</v>
      </c>
      <c r="E1019" s="3" t="s">
        <v>16</v>
      </c>
      <c r="F1019" s="3" t="s">
        <v>8</v>
      </c>
      <c r="G1019" s="4">
        <v>3484.33</v>
      </c>
      <c r="H1019">
        <f t="shared" si="31"/>
        <v>3</v>
      </c>
      <c r="I1019" s="6">
        <f t="shared" si="32"/>
        <v>1161.4433333333334</v>
      </c>
      <c r="L1019" s="19"/>
      <c r="O1019" s="2"/>
      <c r="P1019" s="3"/>
      <c r="Q1019" s="2"/>
      <c r="R1019" s="2"/>
      <c r="S1019" s="3"/>
      <c r="T1019" s="3"/>
      <c r="U1019" s="4"/>
      <c r="W1019" s="6"/>
    </row>
    <row r="1020" spans="1:23" ht="15" thickBot="1" x14ac:dyDescent="0.35">
      <c r="A1020" s="2">
        <v>26</v>
      </c>
      <c r="B1020" s="3" t="s">
        <v>14</v>
      </c>
      <c r="C1020" s="2">
        <v>17.7</v>
      </c>
      <c r="D1020" s="2">
        <v>0</v>
      </c>
      <c r="E1020" s="3" t="s">
        <v>16</v>
      </c>
      <c r="F1020" s="3" t="s">
        <v>7</v>
      </c>
      <c r="G1020" s="4">
        <v>2680.95</v>
      </c>
      <c r="H1020">
        <f t="shared" si="31"/>
        <v>1</v>
      </c>
      <c r="I1020" s="6">
        <f t="shared" si="32"/>
        <v>2680.95</v>
      </c>
      <c r="L1020" s="19"/>
      <c r="O1020" s="2"/>
      <c r="P1020" s="3"/>
      <c r="Q1020" s="2"/>
      <c r="R1020" s="2"/>
      <c r="S1020" s="3"/>
      <c r="T1020" s="3"/>
      <c r="U1020" s="4"/>
      <c r="W1020" s="6"/>
    </row>
    <row r="1021" spans="1:23" ht="15" thickBot="1" x14ac:dyDescent="0.35">
      <c r="A1021" s="2">
        <v>26</v>
      </c>
      <c r="B1021" s="3" t="s">
        <v>15</v>
      </c>
      <c r="C1021" s="2">
        <v>29.5</v>
      </c>
      <c r="D1021" s="2">
        <v>1</v>
      </c>
      <c r="E1021" s="3" t="s">
        <v>16</v>
      </c>
      <c r="F1021" s="3" t="s">
        <v>10</v>
      </c>
      <c r="G1021" s="4">
        <v>3392.37</v>
      </c>
      <c r="H1021">
        <f t="shared" si="31"/>
        <v>2</v>
      </c>
      <c r="I1021" s="6">
        <f t="shared" si="32"/>
        <v>1696.1849999999999</v>
      </c>
      <c r="L1021" s="19"/>
      <c r="O1021" s="2"/>
      <c r="P1021" s="3"/>
      <c r="Q1021" s="2"/>
      <c r="R1021" s="2"/>
      <c r="S1021" s="3"/>
      <c r="T1021" s="3"/>
      <c r="U1021" s="4"/>
      <c r="W1021" s="6"/>
    </row>
    <row r="1022" spans="1:23" ht="15" thickBot="1" x14ac:dyDescent="0.35">
      <c r="A1022" s="2">
        <v>26</v>
      </c>
      <c r="B1022" s="3" t="s">
        <v>14</v>
      </c>
      <c r="C1022" s="2">
        <v>27.3</v>
      </c>
      <c r="D1022" s="2">
        <v>3</v>
      </c>
      <c r="E1022" s="3" t="s">
        <v>16</v>
      </c>
      <c r="F1022" s="3" t="s">
        <v>9</v>
      </c>
      <c r="G1022" s="4">
        <v>4661.29</v>
      </c>
      <c r="H1022">
        <f t="shared" si="31"/>
        <v>4</v>
      </c>
      <c r="I1022" s="6">
        <f t="shared" si="32"/>
        <v>1165.3225</v>
      </c>
      <c r="L1022" s="19"/>
      <c r="O1022" s="2"/>
      <c r="P1022" s="3"/>
      <c r="Q1022" s="2"/>
      <c r="R1022" s="2"/>
      <c r="S1022" s="3"/>
      <c r="T1022" s="3"/>
      <c r="U1022" s="4"/>
      <c r="W1022" s="6"/>
    </row>
    <row r="1023" spans="1:23" ht="15" thickBot="1" x14ac:dyDescent="0.35">
      <c r="A1023" s="2">
        <v>26</v>
      </c>
      <c r="B1023" s="3" t="s">
        <v>15</v>
      </c>
      <c r="C1023" s="2">
        <v>29.4</v>
      </c>
      <c r="D1023" s="2">
        <v>2</v>
      </c>
      <c r="E1023" s="3" t="s">
        <v>16</v>
      </c>
      <c r="F1023" s="3" t="s">
        <v>9</v>
      </c>
      <c r="G1023" s="4">
        <v>4564.1899999999996</v>
      </c>
      <c r="H1023">
        <f t="shared" si="31"/>
        <v>3</v>
      </c>
      <c r="I1023" s="6">
        <f t="shared" si="32"/>
        <v>1521.3966666666665</v>
      </c>
      <c r="L1023" s="19"/>
      <c r="O1023" s="2"/>
      <c r="P1023" s="3"/>
      <c r="Q1023" s="2"/>
      <c r="R1023" s="2"/>
      <c r="S1023" s="3"/>
      <c r="T1023" s="3"/>
      <c r="U1023" s="4"/>
      <c r="W1023" s="6"/>
    </row>
    <row r="1024" spans="1:23" ht="15" thickBot="1" x14ac:dyDescent="0.35">
      <c r="A1024" s="2">
        <v>26</v>
      </c>
      <c r="B1024" s="3" t="s">
        <v>14</v>
      </c>
      <c r="C1024" s="2">
        <v>46.5</v>
      </c>
      <c r="D1024" s="2">
        <v>1</v>
      </c>
      <c r="E1024" s="3" t="s">
        <v>16</v>
      </c>
      <c r="F1024" s="3" t="s">
        <v>10</v>
      </c>
      <c r="G1024" s="4">
        <v>2927.06</v>
      </c>
      <c r="H1024">
        <f t="shared" si="31"/>
        <v>2</v>
      </c>
      <c r="I1024" s="6">
        <f t="shared" si="32"/>
        <v>1463.53</v>
      </c>
      <c r="L1024" s="19"/>
      <c r="O1024" s="2"/>
      <c r="P1024" s="3"/>
      <c r="Q1024" s="2"/>
      <c r="R1024" s="2"/>
      <c r="S1024" s="3"/>
      <c r="T1024" s="3"/>
      <c r="U1024" s="4"/>
      <c r="W1024" s="6"/>
    </row>
    <row r="1025" spans="1:23" ht="15" thickBot="1" x14ac:dyDescent="0.35">
      <c r="A1025" s="2">
        <v>26</v>
      </c>
      <c r="B1025" s="3" t="s">
        <v>14</v>
      </c>
      <c r="C1025" s="2">
        <v>35.4</v>
      </c>
      <c r="D1025" s="2">
        <v>0</v>
      </c>
      <c r="E1025" s="3" t="s">
        <v>16</v>
      </c>
      <c r="F1025" s="3" t="s">
        <v>10</v>
      </c>
      <c r="G1025" s="4">
        <v>2322.62</v>
      </c>
      <c r="H1025">
        <f t="shared" si="31"/>
        <v>1</v>
      </c>
      <c r="I1025" s="6">
        <f t="shared" si="32"/>
        <v>2322.62</v>
      </c>
      <c r="L1025" s="19"/>
      <c r="O1025" s="2"/>
      <c r="P1025" s="3"/>
      <c r="Q1025" s="2"/>
      <c r="R1025" s="2"/>
      <c r="S1025" s="3"/>
      <c r="T1025" s="3"/>
      <c r="U1025" s="4"/>
      <c r="W1025" s="6"/>
    </row>
    <row r="1026" spans="1:23" ht="15" thickBot="1" x14ac:dyDescent="0.35">
      <c r="A1026" s="2">
        <v>26</v>
      </c>
      <c r="B1026" s="3" t="s">
        <v>14</v>
      </c>
      <c r="C1026" s="2">
        <v>29.2</v>
      </c>
      <c r="D1026" s="2">
        <v>1</v>
      </c>
      <c r="E1026" s="3" t="s">
        <v>16</v>
      </c>
      <c r="F1026" s="3" t="s">
        <v>10</v>
      </c>
      <c r="G1026" s="4">
        <v>2902.91</v>
      </c>
      <c r="H1026">
        <f t="shared" si="31"/>
        <v>2</v>
      </c>
      <c r="I1026" s="6">
        <f t="shared" si="32"/>
        <v>1451.4549999999999</v>
      </c>
      <c r="L1026" s="19"/>
      <c r="O1026" s="2"/>
      <c r="P1026" s="3"/>
      <c r="Q1026" s="2"/>
      <c r="R1026" s="2"/>
      <c r="S1026" s="3"/>
      <c r="T1026" s="3"/>
      <c r="U1026" s="4"/>
      <c r="W1026" s="6"/>
    </row>
    <row r="1027" spans="1:23" ht="15" thickBot="1" x14ac:dyDescent="0.35">
      <c r="A1027" s="2">
        <v>26</v>
      </c>
      <c r="B1027" s="3" t="s">
        <v>15</v>
      </c>
      <c r="C1027" s="2">
        <v>19.8</v>
      </c>
      <c r="D1027" s="2">
        <v>1</v>
      </c>
      <c r="E1027" s="3" t="s">
        <v>16</v>
      </c>
      <c r="F1027" s="3" t="s">
        <v>8</v>
      </c>
      <c r="G1027" s="4">
        <v>3378.91</v>
      </c>
      <c r="H1027">
        <f t="shared" ref="H1027:H1090" si="33">D1027+1</f>
        <v>2</v>
      </c>
      <c r="I1027" s="6">
        <f t="shared" ref="I1027:I1090" si="34">G1027/H1027</f>
        <v>1689.4549999999999</v>
      </c>
      <c r="L1027" s="19"/>
      <c r="O1027" s="2"/>
      <c r="P1027" s="3"/>
      <c r="Q1027" s="2"/>
      <c r="R1027" s="2"/>
      <c r="S1027" s="3"/>
      <c r="T1027" s="3"/>
      <c r="U1027" s="4"/>
      <c r="W1027" s="6"/>
    </row>
    <row r="1028" spans="1:23" ht="15" thickBot="1" x14ac:dyDescent="0.35">
      <c r="A1028" s="2">
        <v>26</v>
      </c>
      <c r="B1028" s="3" t="s">
        <v>15</v>
      </c>
      <c r="C1028" s="2">
        <v>34.200000000000003</v>
      </c>
      <c r="D1028" s="2">
        <v>2</v>
      </c>
      <c r="E1028" s="3" t="s">
        <v>16</v>
      </c>
      <c r="F1028" s="3" t="s">
        <v>8</v>
      </c>
      <c r="G1028" s="4">
        <v>3987.93</v>
      </c>
      <c r="H1028">
        <f t="shared" si="33"/>
        <v>3</v>
      </c>
      <c r="I1028" s="6">
        <f t="shared" si="34"/>
        <v>1329.31</v>
      </c>
      <c r="L1028" s="19"/>
      <c r="O1028" s="2"/>
      <c r="P1028" s="3"/>
      <c r="Q1028" s="2"/>
      <c r="R1028" s="2"/>
      <c r="S1028" s="3"/>
      <c r="T1028" s="3"/>
      <c r="U1028" s="4"/>
      <c r="W1028" s="6"/>
    </row>
    <row r="1029" spans="1:23" ht="15" thickBot="1" x14ac:dyDescent="0.35">
      <c r="A1029" s="2">
        <v>26</v>
      </c>
      <c r="B1029" s="3" t="s">
        <v>14</v>
      </c>
      <c r="C1029" s="2">
        <v>30</v>
      </c>
      <c r="D1029" s="2">
        <v>1</v>
      </c>
      <c r="E1029" s="3" t="s">
        <v>16</v>
      </c>
      <c r="F1029" s="3" t="s">
        <v>8</v>
      </c>
      <c r="G1029" s="4">
        <v>2904.09</v>
      </c>
      <c r="H1029">
        <f t="shared" si="33"/>
        <v>2</v>
      </c>
      <c r="I1029" s="6">
        <f t="shared" si="34"/>
        <v>1452.0450000000001</v>
      </c>
      <c r="L1029" s="19"/>
      <c r="O1029" s="2"/>
      <c r="P1029" s="3"/>
      <c r="Q1029" s="2"/>
      <c r="R1029" s="2"/>
      <c r="S1029" s="3"/>
      <c r="T1029" s="3"/>
      <c r="U1029" s="4"/>
      <c r="W1029" s="6"/>
    </row>
    <row r="1030" spans="1:23" ht="15" thickBot="1" x14ac:dyDescent="0.35">
      <c r="A1030" s="2">
        <v>26</v>
      </c>
      <c r="B1030" s="3" t="s">
        <v>15</v>
      </c>
      <c r="C1030" s="2">
        <v>22.2</v>
      </c>
      <c r="D1030" s="2">
        <v>0</v>
      </c>
      <c r="E1030" s="3" t="s">
        <v>16</v>
      </c>
      <c r="F1030" s="3" t="s">
        <v>7</v>
      </c>
      <c r="G1030" s="4">
        <v>3176.29</v>
      </c>
      <c r="H1030">
        <f t="shared" si="33"/>
        <v>1</v>
      </c>
      <c r="I1030" s="6">
        <f t="shared" si="34"/>
        <v>3176.29</v>
      </c>
      <c r="L1030" s="19"/>
      <c r="O1030" s="2"/>
      <c r="P1030" s="3"/>
      <c r="Q1030" s="2"/>
      <c r="R1030" s="2"/>
      <c r="S1030" s="3"/>
      <c r="T1030" s="3"/>
      <c r="U1030" s="4"/>
      <c r="W1030" s="6"/>
    </row>
    <row r="1031" spans="1:23" ht="15" thickBot="1" x14ac:dyDescent="0.35">
      <c r="A1031" s="2">
        <v>26</v>
      </c>
      <c r="B1031" s="3" t="s">
        <v>14</v>
      </c>
      <c r="C1031" s="2">
        <v>31.1</v>
      </c>
      <c r="D1031" s="2">
        <v>0</v>
      </c>
      <c r="E1031" s="3" t="s">
        <v>16</v>
      </c>
      <c r="F1031" s="3" t="s">
        <v>7</v>
      </c>
      <c r="G1031" s="4">
        <v>2699.57</v>
      </c>
      <c r="H1031">
        <f t="shared" si="33"/>
        <v>1</v>
      </c>
      <c r="I1031" s="6">
        <f t="shared" si="34"/>
        <v>2699.57</v>
      </c>
      <c r="L1031" s="19"/>
      <c r="O1031" s="2"/>
      <c r="P1031" s="3"/>
      <c r="Q1031" s="2"/>
      <c r="R1031" s="2"/>
      <c r="S1031" s="3"/>
      <c r="T1031" s="3"/>
      <c r="U1031" s="4"/>
      <c r="W1031" s="6"/>
    </row>
    <row r="1032" spans="1:23" ht="15" thickBot="1" x14ac:dyDescent="0.35">
      <c r="A1032" s="2">
        <v>26</v>
      </c>
      <c r="B1032" s="3" t="s">
        <v>14</v>
      </c>
      <c r="C1032" s="2">
        <v>33.9</v>
      </c>
      <c r="D1032" s="2">
        <v>1</v>
      </c>
      <c r="E1032" s="3" t="s">
        <v>16</v>
      </c>
      <c r="F1032" s="3" t="s">
        <v>7</v>
      </c>
      <c r="G1032" s="4">
        <v>3292.53</v>
      </c>
      <c r="H1032">
        <f t="shared" si="33"/>
        <v>2</v>
      </c>
      <c r="I1032" s="6">
        <f t="shared" si="34"/>
        <v>1646.2650000000001</v>
      </c>
      <c r="L1032" s="19"/>
      <c r="O1032" s="2"/>
      <c r="P1032" s="3"/>
      <c r="Q1032" s="2"/>
      <c r="R1032" s="2"/>
      <c r="S1032" s="3"/>
      <c r="T1032" s="3"/>
      <c r="U1032" s="4"/>
      <c r="W1032" s="6"/>
    </row>
    <row r="1033" spans="1:23" ht="15" thickBot="1" x14ac:dyDescent="0.35">
      <c r="A1033" s="2">
        <v>26</v>
      </c>
      <c r="B1033" s="3" t="s">
        <v>14</v>
      </c>
      <c r="C1033" s="2">
        <v>27.1</v>
      </c>
      <c r="D1033" s="2">
        <v>0</v>
      </c>
      <c r="E1033" s="3" t="s">
        <v>17</v>
      </c>
      <c r="F1033" s="3" t="s">
        <v>10</v>
      </c>
      <c r="G1033" s="4">
        <v>17043.34</v>
      </c>
      <c r="H1033">
        <f t="shared" si="33"/>
        <v>1</v>
      </c>
      <c r="I1033" s="6">
        <f t="shared" si="34"/>
        <v>17043.34</v>
      </c>
      <c r="L1033" s="19"/>
      <c r="O1033" s="2"/>
      <c r="P1033" s="3"/>
      <c r="Q1033" s="2"/>
      <c r="R1033" s="2"/>
      <c r="S1033" s="3"/>
      <c r="T1033" s="3"/>
      <c r="U1033" s="4"/>
      <c r="W1033" s="6"/>
    </row>
    <row r="1034" spans="1:23" ht="15" thickBot="1" x14ac:dyDescent="0.35">
      <c r="A1034" s="2">
        <v>25</v>
      </c>
      <c r="B1034" s="3" t="s">
        <v>14</v>
      </c>
      <c r="C1034" s="2">
        <v>26.2</v>
      </c>
      <c r="D1034" s="2">
        <v>0</v>
      </c>
      <c r="E1034" s="3" t="s">
        <v>16</v>
      </c>
      <c r="F1034" s="3" t="s">
        <v>9</v>
      </c>
      <c r="G1034" s="4">
        <v>2721.32</v>
      </c>
      <c r="H1034">
        <f t="shared" si="33"/>
        <v>1</v>
      </c>
      <c r="I1034" s="6">
        <f t="shared" si="34"/>
        <v>2721.32</v>
      </c>
      <c r="L1034" s="19"/>
      <c r="O1034" s="2"/>
      <c r="P1034" s="3"/>
      <c r="Q1034" s="2"/>
      <c r="R1034" s="2"/>
      <c r="S1034" s="3"/>
      <c r="T1034" s="3"/>
      <c r="U1034" s="4"/>
      <c r="W1034" s="6"/>
    </row>
    <row r="1035" spans="1:23" ht="15" thickBot="1" x14ac:dyDescent="0.35">
      <c r="A1035" s="2">
        <v>25</v>
      </c>
      <c r="B1035" s="3" t="s">
        <v>14</v>
      </c>
      <c r="C1035" s="2">
        <v>33.700000000000003</v>
      </c>
      <c r="D1035" s="2">
        <v>4</v>
      </c>
      <c r="E1035" s="3" t="s">
        <v>16</v>
      </c>
      <c r="F1035" s="3" t="s">
        <v>10</v>
      </c>
      <c r="G1035" s="4">
        <v>4504.66</v>
      </c>
      <c r="H1035">
        <f t="shared" si="33"/>
        <v>5</v>
      </c>
      <c r="I1035" s="6">
        <f t="shared" si="34"/>
        <v>900.93200000000002</v>
      </c>
      <c r="L1035" s="19"/>
      <c r="O1035" s="2"/>
      <c r="P1035" s="3"/>
      <c r="Q1035" s="2"/>
      <c r="R1035" s="2"/>
      <c r="S1035" s="3"/>
      <c r="T1035" s="3"/>
      <c r="U1035" s="4"/>
      <c r="W1035" s="6"/>
    </row>
    <row r="1036" spans="1:23" ht="15" thickBot="1" x14ac:dyDescent="0.35">
      <c r="A1036" s="2">
        <v>25</v>
      </c>
      <c r="B1036" s="3" t="s">
        <v>14</v>
      </c>
      <c r="C1036" s="2">
        <v>25.7</v>
      </c>
      <c r="D1036" s="2">
        <v>0</v>
      </c>
      <c r="E1036" s="3" t="s">
        <v>16</v>
      </c>
      <c r="F1036" s="3" t="s">
        <v>10</v>
      </c>
      <c r="G1036" s="4">
        <v>2137.65</v>
      </c>
      <c r="H1036">
        <f t="shared" si="33"/>
        <v>1</v>
      </c>
      <c r="I1036" s="6">
        <f t="shared" si="34"/>
        <v>2137.65</v>
      </c>
      <c r="L1036" s="19"/>
      <c r="O1036" s="2"/>
      <c r="P1036" s="3"/>
      <c r="Q1036" s="2"/>
      <c r="R1036" s="2"/>
      <c r="S1036" s="3"/>
      <c r="T1036" s="3"/>
      <c r="U1036" s="4"/>
      <c r="W1036" s="6"/>
    </row>
    <row r="1037" spans="1:23" ht="15" thickBot="1" x14ac:dyDescent="0.35">
      <c r="A1037" s="2">
        <v>25</v>
      </c>
      <c r="B1037" s="3" t="s">
        <v>14</v>
      </c>
      <c r="C1037" s="2">
        <v>27.6</v>
      </c>
      <c r="D1037" s="2">
        <v>0</v>
      </c>
      <c r="E1037" s="3" t="s">
        <v>16</v>
      </c>
      <c r="F1037" s="3" t="s">
        <v>7</v>
      </c>
      <c r="G1037" s="4">
        <v>2523.17</v>
      </c>
      <c r="H1037">
        <f t="shared" si="33"/>
        <v>1</v>
      </c>
      <c r="I1037" s="6">
        <f t="shared" si="34"/>
        <v>2523.17</v>
      </c>
      <c r="L1037" s="19"/>
      <c r="O1037" s="2"/>
      <c r="P1037" s="3"/>
      <c r="Q1037" s="2"/>
      <c r="R1037" s="2"/>
      <c r="S1037" s="3"/>
      <c r="T1037" s="3"/>
      <c r="U1037" s="4"/>
      <c r="W1037" s="6"/>
    </row>
    <row r="1038" spans="1:23" ht="15" thickBot="1" x14ac:dyDescent="0.35">
      <c r="A1038" s="2">
        <v>25</v>
      </c>
      <c r="B1038" s="3" t="s">
        <v>14</v>
      </c>
      <c r="C1038" s="2">
        <v>45.5</v>
      </c>
      <c r="D1038" s="2">
        <v>2</v>
      </c>
      <c r="E1038" s="3" t="s">
        <v>17</v>
      </c>
      <c r="F1038" s="3" t="s">
        <v>10</v>
      </c>
      <c r="G1038" s="4">
        <v>42112.24</v>
      </c>
      <c r="H1038">
        <f t="shared" si="33"/>
        <v>3</v>
      </c>
      <c r="I1038" s="6">
        <f t="shared" si="34"/>
        <v>14037.413333333332</v>
      </c>
      <c r="L1038" s="19"/>
      <c r="O1038" s="2"/>
      <c r="P1038" s="3"/>
      <c r="Q1038" s="2"/>
      <c r="R1038" s="2"/>
      <c r="S1038" s="3"/>
      <c r="T1038" s="3"/>
      <c r="U1038" s="4"/>
      <c r="W1038" s="6"/>
    </row>
    <row r="1039" spans="1:23" ht="15" thickBot="1" x14ac:dyDescent="0.35">
      <c r="A1039" s="2">
        <v>25</v>
      </c>
      <c r="B1039" s="3" t="s">
        <v>14</v>
      </c>
      <c r="C1039" s="2">
        <v>26.8</v>
      </c>
      <c r="D1039" s="2">
        <v>3</v>
      </c>
      <c r="E1039" s="3" t="s">
        <v>16</v>
      </c>
      <c r="F1039" s="3" t="s">
        <v>8</v>
      </c>
      <c r="G1039" s="4">
        <v>3906.13</v>
      </c>
      <c r="H1039">
        <f t="shared" si="33"/>
        <v>4</v>
      </c>
      <c r="I1039" s="6">
        <f t="shared" si="34"/>
        <v>976.53250000000003</v>
      </c>
      <c r="L1039" s="19"/>
      <c r="O1039" s="2"/>
      <c r="P1039" s="3"/>
      <c r="Q1039" s="2"/>
      <c r="R1039" s="2"/>
      <c r="S1039" s="3"/>
      <c r="T1039" s="3"/>
      <c r="U1039" s="4"/>
      <c r="W1039" s="6"/>
    </row>
    <row r="1040" spans="1:23" ht="15" thickBot="1" x14ac:dyDescent="0.35">
      <c r="A1040" s="2">
        <v>25</v>
      </c>
      <c r="B1040" s="3" t="s">
        <v>14</v>
      </c>
      <c r="C1040" s="2">
        <v>23.9</v>
      </c>
      <c r="D1040" s="2">
        <v>5</v>
      </c>
      <c r="E1040" s="3" t="s">
        <v>16</v>
      </c>
      <c r="F1040" s="3" t="s">
        <v>8</v>
      </c>
      <c r="G1040" s="4">
        <v>5080.1000000000004</v>
      </c>
      <c r="H1040">
        <f t="shared" si="33"/>
        <v>6</v>
      </c>
      <c r="I1040" s="6">
        <f t="shared" si="34"/>
        <v>846.68333333333339</v>
      </c>
      <c r="L1040" s="19"/>
      <c r="O1040" s="2"/>
      <c r="P1040" s="3"/>
      <c r="Q1040" s="2"/>
      <c r="R1040" s="2"/>
      <c r="S1040" s="3"/>
      <c r="T1040" s="3"/>
      <c r="U1040" s="4"/>
      <c r="W1040" s="6"/>
    </row>
    <row r="1041" spans="1:23" ht="15" thickBot="1" x14ac:dyDescent="0.35">
      <c r="A1041" s="2">
        <v>25</v>
      </c>
      <c r="B1041" s="3" t="s">
        <v>14</v>
      </c>
      <c r="C1041" s="2">
        <v>30.6</v>
      </c>
      <c r="D1041" s="2">
        <v>0</v>
      </c>
      <c r="E1041" s="3" t="s">
        <v>16</v>
      </c>
      <c r="F1041" s="3" t="s">
        <v>9</v>
      </c>
      <c r="G1041" s="4">
        <v>2727.4</v>
      </c>
      <c r="H1041">
        <f t="shared" si="33"/>
        <v>1</v>
      </c>
      <c r="I1041" s="6">
        <f t="shared" si="34"/>
        <v>2727.4</v>
      </c>
      <c r="L1041" s="19"/>
      <c r="O1041" s="2"/>
      <c r="P1041" s="3"/>
      <c r="Q1041" s="2"/>
      <c r="R1041" s="2"/>
      <c r="S1041" s="3"/>
      <c r="T1041" s="3"/>
      <c r="U1041" s="4"/>
      <c r="W1041" s="6"/>
    </row>
    <row r="1042" spans="1:23" ht="15" thickBot="1" x14ac:dyDescent="0.35">
      <c r="A1042" s="2">
        <v>25</v>
      </c>
      <c r="B1042" s="3" t="s">
        <v>14</v>
      </c>
      <c r="C1042" s="2">
        <v>35.6</v>
      </c>
      <c r="D1042" s="2">
        <v>0</v>
      </c>
      <c r="E1042" s="3" t="s">
        <v>16</v>
      </c>
      <c r="F1042" s="3" t="s">
        <v>7</v>
      </c>
      <c r="G1042" s="4">
        <v>2534.39</v>
      </c>
      <c r="H1042">
        <f t="shared" si="33"/>
        <v>1</v>
      </c>
      <c r="I1042" s="6">
        <f t="shared" si="34"/>
        <v>2534.39</v>
      </c>
      <c r="L1042" s="19"/>
      <c r="O1042" s="2"/>
      <c r="P1042" s="3"/>
      <c r="Q1042" s="2"/>
      <c r="R1042" s="2"/>
      <c r="S1042" s="3"/>
      <c r="T1042" s="3"/>
      <c r="U1042" s="4"/>
      <c r="W1042" s="6"/>
    </row>
    <row r="1043" spans="1:23" ht="15" thickBot="1" x14ac:dyDescent="0.35">
      <c r="A1043" s="2">
        <v>25</v>
      </c>
      <c r="B1043" s="3" t="s">
        <v>15</v>
      </c>
      <c r="C1043" s="2">
        <v>28.6</v>
      </c>
      <c r="D1043" s="2">
        <v>0</v>
      </c>
      <c r="E1043" s="3" t="s">
        <v>16</v>
      </c>
      <c r="F1043" s="3" t="s">
        <v>9</v>
      </c>
      <c r="G1043" s="4">
        <v>3213.62</v>
      </c>
      <c r="H1043">
        <f t="shared" si="33"/>
        <v>1</v>
      </c>
      <c r="I1043" s="6">
        <f t="shared" si="34"/>
        <v>3213.62</v>
      </c>
      <c r="L1043" s="19"/>
      <c r="O1043" s="2"/>
      <c r="P1043" s="3"/>
      <c r="Q1043" s="2"/>
      <c r="R1043" s="2"/>
      <c r="S1043" s="3"/>
      <c r="T1043" s="3"/>
      <c r="U1043" s="4"/>
      <c r="W1043" s="6"/>
    </row>
    <row r="1044" spans="1:23" ht="15" thickBot="1" x14ac:dyDescent="0.35">
      <c r="A1044" s="2">
        <v>25</v>
      </c>
      <c r="B1044" s="3" t="s">
        <v>15</v>
      </c>
      <c r="C1044" s="2">
        <v>41.3</v>
      </c>
      <c r="D1044" s="2">
        <v>0</v>
      </c>
      <c r="E1044" s="3" t="s">
        <v>16</v>
      </c>
      <c r="F1044" s="3" t="s">
        <v>9</v>
      </c>
      <c r="G1044" s="4">
        <v>17878.900000000001</v>
      </c>
      <c r="H1044">
        <f t="shared" si="33"/>
        <v>1</v>
      </c>
      <c r="I1044" s="6">
        <f t="shared" si="34"/>
        <v>17878.900000000001</v>
      </c>
      <c r="L1044" s="19"/>
      <c r="O1044" s="2"/>
      <c r="P1044" s="3"/>
      <c r="Q1044" s="2"/>
      <c r="R1044" s="2"/>
      <c r="S1044" s="3"/>
      <c r="T1044" s="3"/>
      <c r="U1044" s="4"/>
      <c r="W1044" s="6"/>
    </row>
    <row r="1045" spans="1:23" ht="15" thickBot="1" x14ac:dyDescent="0.35">
      <c r="A1045" s="2">
        <v>25</v>
      </c>
      <c r="B1045" s="3" t="s">
        <v>15</v>
      </c>
      <c r="C1045" s="2">
        <v>23.5</v>
      </c>
      <c r="D1045" s="2">
        <v>0</v>
      </c>
      <c r="E1045" s="3" t="s">
        <v>16</v>
      </c>
      <c r="F1045" s="3" t="s">
        <v>9</v>
      </c>
      <c r="G1045" s="4">
        <v>3206.49</v>
      </c>
      <c r="H1045">
        <f t="shared" si="33"/>
        <v>1</v>
      </c>
      <c r="I1045" s="6">
        <f t="shared" si="34"/>
        <v>3206.49</v>
      </c>
      <c r="L1045" s="19"/>
      <c r="O1045" s="2"/>
      <c r="P1045" s="3"/>
      <c r="Q1045" s="2"/>
      <c r="R1045" s="2"/>
      <c r="S1045" s="3"/>
      <c r="T1045" s="3"/>
      <c r="U1045" s="4"/>
      <c r="W1045" s="6"/>
    </row>
    <row r="1046" spans="1:23" ht="15" thickBot="1" x14ac:dyDescent="0.35">
      <c r="A1046" s="2">
        <v>25</v>
      </c>
      <c r="B1046" s="3" t="s">
        <v>14</v>
      </c>
      <c r="C1046" s="2">
        <v>25.8</v>
      </c>
      <c r="D1046" s="2">
        <v>1</v>
      </c>
      <c r="E1046" s="3" t="s">
        <v>16</v>
      </c>
      <c r="F1046" s="3" t="s">
        <v>9</v>
      </c>
      <c r="G1046" s="4">
        <v>3309.79</v>
      </c>
      <c r="H1046">
        <f t="shared" si="33"/>
        <v>2</v>
      </c>
      <c r="I1046" s="6">
        <f t="shared" si="34"/>
        <v>1654.895</v>
      </c>
      <c r="L1046" s="19"/>
      <c r="O1046" s="2"/>
      <c r="P1046" s="3"/>
      <c r="Q1046" s="2"/>
      <c r="R1046" s="2"/>
      <c r="S1046" s="3"/>
      <c r="T1046" s="3"/>
      <c r="U1046" s="4"/>
      <c r="W1046" s="6"/>
    </row>
    <row r="1047" spans="1:23" ht="15" thickBot="1" x14ac:dyDescent="0.35">
      <c r="A1047" s="2">
        <v>25</v>
      </c>
      <c r="B1047" s="3" t="s">
        <v>14</v>
      </c>
      <c r="C1047" s="2">
        <v>24.1</v>
      </c>
      <c r="D1047" s="2">
        <v>0</v>
      </c>
      <c r="E1047" s="3" t="s">
        <v>17</v>
      </c>
      <c r="F1047" s="3" t="s">
        <v>7</v>
      </c>
      <c r="G1047" s="4">
        <v>15817.99</v>
      </c>
      <c r="H1047">
        <f t="shared" si="33"/>
        <v>1</v>
      </c>
      <c r="I1047" s="6">
        <f t="shared" si="34"/>
        <v>15817.99</v>
      </c>
      <c r="L1047" s="19"/>
      <c r="O1047" s="2"/>
      <c r="P1047" s="3"/>
      <c r="Q1047" s="2"/>
      <c r="R1047" s="2"/>
      <c r="S1047" s="3"/>
      <c r="T1047" s="3"/>
      <c r="U1047" s="4"/>
      <c r="W1047" s="6"/>
    </row>
    <row r="1048" spans="1:23" ht="15" thickBot="1" x14ac:dyDescent="0.35">
      <c r="A1048" s="2">
        <v>25</v>
      </c>
      <c r="B1048" s="3" t="s">
        <v>15</v>
      </c>
      <c r="C1048" s="2">
        <v>32.200000000000003</v>
      </c>
      <c r="D1048" s="2">
        <v>1</v>
      </c>
      <c r="E1048" s="3" t="s">
        <v>16</v>
      </c>
      <c r="F1048" s="3" t="s">
        <v>10</v>
      </c>
      <c r="G1048" s="4">
        <v>18218.16</v>
      </c>
      <c r="H1048">
        <f t="shared" si="33"/>
        <v>2</v>
      </c>
      <c r="I1048" s="6">
        <f t="shared" si="34"/>
        <v>9109.08</v>
      </c>
      <c r="L1048" s="19"/>
      <c r="O1048" s="2"/>
      <c r="P1048" s="3"/>
      <c r="Q1048" s="2"/>
      <c r="R1048" s="2"/>
      <c r="S1048" s="3"/>
      <c r="T1048" s="3"/>
      <c r="U1048" s="4"/>
      <c r="W1048" s="6"/>
    </row>
    <row r="1049" spans="1:23" ht="15" thickBot="1" x14ac:dyDescent="0.35">
      <c r="A1049" s="2">
        <v>25</v>
      </c>
      <c r="B1049" s="3" t="s">
        <v>15</v>
      </c>
      <c r="C1049" s="2">
        <v>24.3</v>
      </c>
      <c r="D1049" s="2">
        <v>3</v>
      </c>
      <c r="E1049" s="3" t="s">
        <v>16</v>
      </c>
      <c r="F1049" s="3" t="s">
        <v>8</v>
      </c>
      <c r="G1049" s="4">
        <v>4391.6499999999996</v>
      </c>
      <c r="H1049">
        <f t="shared" si="33"/>
        <v>4</v>
      </c>
      <c r="I1049" s="6">
        <f t="shared" si="34"/>
        <v>1097.9124999999999</v>
      </c>
      <c r="L1049" s="19"/>
      <c r="O1049" s="2"/>
      <c r="P1049" s="3"/>
      <c r="Q1049" s="2"/>
      <c r="R1049" s="2"/>
      <c r="S1049" s="3"/>
      <c r="T1049" s="3"/>
      <c r="U1049" s="4"/>
      <c r="W1049" s="6"/>
    </row>
    <row r="1050" spans="1:23" ht="15" thickBot="1" x14ac:dyDescent="0.35">
      <c r="A1050" s="2">
        <v>25</v>
      </c>
      <c r="B1050" s="3" t="s">
        <v>14</v>
      </c>
      <c r="C1050" s="2">
        <v>26.7</v>
      </c>
      <c r="D1050" s="2">
        <v>4</v>
      </c>
      <c r="E1050" s="3" t="s">
        <v>16</v>
      </c>
      <c r="F1050" s="3" t="s">
        <v>7</v>
      </c>
      <c r="G1050" s="4">
        <v>4877.9799999999996</v>
      </c>
      <c r="H1050">
        <f t="shared" si="33"/>
        <v>5</v>
      </c>
      <c r="I1050" s="6">
        <f t="shared" si="34"/>
        <v>975.59599999999989</v>
      </c>
      <c r="L1050" s="19"/>
      <c r="O1050" s="2"/>
      <c r="P1050" s="3"/>
      <c r="Q1050" s="2"/>
      <c r="R1050" s="2"/>
      <c r="S1050" s="3"/>
      <c r="T1050" s="3"/>
      <c r="U1050" s="4"/>
      <c r="W1050" s="6"/>
    </row>
    <row r="1051" spans="1:23" ht="15" thickBot="1" x14ac:dyDescent="0.35">
      <c r="A1051" s="2">
        <v>25</v>
      </c>
      <c r="B1051" s="3" t="s">
        <v>14</v>
      </c>
      <c r="C1051" s="2">
        <v>29.7</v>
      </c>
      <c r="D1051" s="2">
        <v>3</v>
      </c>
      <c r="E1051" s="3" t="s">
        <v>17</v>
      </c>
      <c r="F1051" s="3" t="s">
        <v>8</v>
      </c>
      <c r="G1051" s="4">
        <v>19933.46</v>
      </c>
      <c r="H1051">
        <f t="shared" si="33"/>
        <v>4</v>
      </c>
      <c r="I1051" s="6">
        <f t="shared" si="34"/>
        <v>4983.3649999999998</v>
      </c>
      <c r="L1051" s="19"/>
      <c r="O1051" s="2"/>
      <c r="P1051" s="3"/>
      <c r="Q1051" s="2"/>
      <c r="R1051" s="2"/>
      <c r="S1051" s="3"/>
      <c r="T1051" s="3"/>
      <c r="U1051" s="4"/>
      <c r="W1051" s="6"/>
    </row>
    <row r="1052" spans="1:23" ht="15" thickBot="1" x14ac:dyDescent="0.35">
      <c r="A1052" s="2">
        <v>25</v>
      </c>
      <c r="B1052" s="3" t="s">
        <v>14</v>
      </c>
      <c r="C1052" s="2">
        <v>25</v>
      </c>
      <c r="D1052" s="2">
        <v>2</v>
      </c>
      <c r="E1052" s="3" t="s">
        <v>16</v>
      </c>
      <c r="F1052" s="3" t="s">
        <v>9</v>
      </c>
      <c r="G1052" s="4">
        <v>23241.47</v>
      </c>
      <c r="H1052">
        <f t="shared" si="33"/>
        <v>3</v>
      </c>
      <c r="I1052" s="6">
        <f t="shared" si="34"/>
        <v>7747.1566666666668</v>
      </c>
      <c r="L1052" s="19"/>
      <c r="O1052" s="2"/>
      <c r="P1052" s="3"/>
      <c r="Q1052" s="2"/>
      <c r="R1052" s="2"/>
      <c r="S1052" s="3"/>
      <c r="T1052" s="3"/>
      <c r="U1052" s="4"/>
      <c r="W1052" s="6"/>
    </row>
    <row r="1053" spans="1:23" ht="15" thickBot="1" x14ac:dyDescent="0.35">
      <c r="A1053" s="2">
        <v>25</v>
      </c>
      <c r="B1053" s="3" t="s">
        <v>15</v>
      </c>
      <c r="C1053" s="2">
        <v>22.5</v>
      </c>
      <c r="D1053" s="2">
        <v>1</v>
      </c>
      <c r="E1053" s="3" t="s">
        <v>16</v>
      </c>
      <c r="F1053" s="3" t="s">
        <v>7</v>
      </c>
      <c r="G1053" s="4">
        <v>3594.17</v>
      </c>
      <c r="H1053">
        <f t="shared" si="33"/>
        <v>2</v>
      </c>
      <c r="I1053" s="6">
        <f t="shared" si="34"/>
        <v>1797.085</v>
      </c>
      <c r="L1053" s="19"/>
      <c r="O1053" s="2"/>
      <c r="P1053" s="3"/>
      <c r="Q1053" s="2"/>
      <c r="R1053" s="2"/>
      <c r="S1053" s="3"/>
      <c r="T1053" s="3"/>
      <c r="U1053" s="4"/>
      <c r="W1053" s="6"/>
    </row>
    <row r="1054" spans="1:23" ht="15" thickBot="1" x14ac:dyDescent="0.35">
      <c r="A1054" s="2">
        <v>25</v>
      </c>
      <c r="B1054" s="3" t="s">
        <v>15</v>
      </c>
      <c r="C1054" s="2">
        <v>34</v>
      </c>
      <c r="D1054" s="2">
        <v>1</v>
      </c>
      <c r="E1054" s="3" t="s">
        <v>16</v>
      </c>
      <c r="F1054" s="3" t="s">
        <v>10</v>
      </c>
      <c r="G1054" s="4">
        <v>3227.12</v>
      </c>
      <c r="H1054">
        <f t="shared" si="33"/>
        <v>2</v>
      </c>
      <c r="I1054" s="6">
        <f t="shared" si="34"/>
        <v>1613.56</v>
      </c>
      <c r="L1054" s="19"/>
      <c r="O1054" s="2"/>
      <c r="P1054" s="3"/>
      <c r="Q1054" s="2"/>
      <c r="R1054" s="2"/>
      <c r="S1054" s="3"/>
      <c r="T1054" s="3"/>
      <c r="U1054" s="4"/>
      <c r="W1054" s="6"/>
    </row>
    <row r="1055" spans="1:23" ht="15" thickBot="1" x14ac:dyDescent="0.35">
      <c r="A1055" s="2">
        <v>25</v>
      </c>
      <c r="B1055" s="3" t="s">
        <v>14</v>
      </c>
      <c r="C1055" s="2">
        <v>33.299999999999997</v>
      </c>
      <c r="D1055" s="2">
        <v>2</v>
      </c>
      <c r="E1055" s="3" t="s">
        <v>17</v>
      </c>
      <c r="F1055" s="3" t="s">
        <v>10</v>
      </c>
      <c r="G1055" s="4">
        <v>36124.57</v>
      </c>
      <c r="H1055">
        <f t="shared" si="33"/>
        <v>3</v>
      </c>
      <c r="I1055" s="6">
        <f t="shared" si="34"/>
        <v>12041.523333333333</v>
      </c>
      <c r="L1055" s="19"/>
      <c r="O1055" s="2"/>
      <c r="P1055" s="3"/>
      <c r="Q1055" s="2"/>
      <c r="R1055" s="2"/>
      <c r="S1055" s="3"/>
      <c r="T1055" s="3"/>
      <c r="U1055" s="4"/>
      <c r="W1055" s="6"/>
    </row>
    <row r="1056" spans="1:23" ht="15" thickBot="1" x14ac:dyDescent="0.35">
      <c r="A1056" s="2">
        <v>25</v>
      </c>
      <c r="B1056" s="3" t="s">
        <v>15</v>
      </c>
      <c r="C1056" s="2">
        <v>30.3</v>
      </c>
      <c r="D1056" s="2">
        <v>0</v>
      </c>
      <c r="E1056" s="3" t="s">
        <v>16</v>
      </c>
      <c r="F1056" s="3" t="s">
        <v>8</v>
      </c>
      <c r="G1056" s="4">
        <v>2632.99</v>
      </c>
      <c r="H1056">
        <f t="shared" si="33"/>
        <v>1</v>
      </c>
      <c r="I1056" s="6">
        <f t="shared" si="34"/>
        <v>2632.99</v>
      </c>
      <c r="L1056" s="19"/>
      <c r="O1056" s="2"/>
      <c r="P1056" s="3"/>
      <c r="Q1056" s="2"/>
      <c r="R1056" s="2"/>
      <c r="S1056" s="3"/>
      <c r="T1056" s="3"/>
      <c r="U1056" s="4"/>
      <c r="W1056" s="6"/>
    </row>
    <row r="1057" spans="1:23" ht="15" thickBot="1" x14ac:dyDescent="0.35">
      <c r="A1057" s="2">
        <v>25</v>
      </c>
      <c r="B1057" s="3" t="s">
        <v>15</v>
      </c>
      <c r="C1057" s="2">
        <v>42.1</v>
      </c>
      <c r="D1057" s="2">
        <v>1</v>
      </c>
      <c r="E1057" s="3" t="s">
        <v>16</v>
      </c>
      <c r="F1057" s="3" t="s">
        <v>10</v>
      </c>
      <c r="G1057" s="4">
        <v>3238.44</v>
      </c>
      <c r="H1057">
        <f t="shared" si="33"/>
        <v>2</v>
      </c>
      <c r="I1057" s="6">
        <f t="shared" si="34"/>
        <v>1619.22</v>
      </c>
      <c r="L1057" s="19"/>
      <c r="O1057" s="2"/>
      <c r="P1057" s="3"/>
      <c r="Q1057" s="2"/>
      <c r="R1057" s="2"/>
      <c r="S1057" s="3"/>
      <c r="T1057" s="3"/>
      <c r="U1057" s="4"/>
      <c r="W1057" s="6"/>
    </row>
    <row r="1058" spans="1:23" ht="15" thickBot="1" x14ac:dyDescent="0.35">
      <c r="A1058" s="2">
        <v>25</v>
      </c>
      <c r="B1058" s="3" t="s">
        <v>15</v>
      </c>
      <c r="C1058" s="2">
        <v>34.5</v>
      </c>
      <c r="D1058" s="2">
        <v>0</v>
      </c>
      <c r="E1058" s="3" t="s">
        <v>16</v>
      </c>
      <c r="F1058" s="3" t="s">
        <v>7</v>
      </c>
      <c r="G1058" s="4">
        <v>3021.81</v>
      </c>
      <c r="H1058">
        <f t="shared" si="33"/>
        <v>1</v>
      </c>
      <c r="I1058" s="6">
        <f t="shared" si="34"/>
        <v>3021.81</v>
      </c>
      <c r="L1058" s="19"/>
      <c r="O1058" s="2"/>
      <c r="P1058" s="3"/>
      <c r="Q1058" s="2"/>
      <c r="R1058" s="2"/>
      <c r="S1058" s="3"/>
      <c r="T1058" s="3"/>
      <c r="U1058" s="4"/>
      <c r="W1058" s="6"/>
    </row>
    <row r="1059" spans="1:23" ht="15" thickBot="1" x14ac:dyDescent="0.35">
      <c r="A1059" s="2">
        <v>25</v>
      </c>
      <c r="B1059" s="3" t="s">
        <v>15</v>
      </c>
      <c r="C1059" s="2">
        <v>26.8</v>
      </c>
      <c r="D1059" s="2">
        <v>2</v>
      </c>
      <c r="E1059" s="3" t="s">
        <v>16</v>
      </c>
      <c r="F1059" s="3" t="s">
        <v>7</v>
      </c>
      <c r="G1059" s="4">
        <v>4189.1099999999997</v>
      </c>
      <c r="H1059">
        <f t="shared" si="33"/>
        <v>3</v>
      </c>
      <c r="I1059" s="6">
        <f t="shared" si="34"/>
        <v>1396.37</v>
      </c>
      <c r="L1059" s="19"/>
      <c r="O1059" s="2"/>
      <c r="P1059" s="3"/>
      <c r="Q1059" s="2"/>
      <c r="R1059" s="2"/>
      <c r="S1059" s="3"/>
      <c r="T1059" s="3"/>
      <c r="U1059" s="4"/>
      <c r="W1059" s="6"/>
    </row>
    <row r="1060" spans="1:23" ht="15" thickBot="1" x14ac:dyDescent="0.35">
      <c r="A1060" s="2">
        <v>25</v>
      </c>
      <c r="B1060" s="3" t="s">
        <v>15</v>
      </c>
      <c r="C1060" s="2">
        <v>20.8</v>
      </c>
      <c r="D1060" s="2">
        <v>1</v>
      </c>
      <c r="E1060" s="3" t="s">
        <v>16</v>
      </c>
      <c r="F1060" s="3" t="s">
        <v>8</v>
      </c>
      <c r="G1060" s="4">
        <v>3208.79</v>
      </c>
      <c r="H1060">
        <f t="shared" si="33"/>
        <v>2</v>
      </c>
      <c r="I1060" s="6">
        <f t="shared" si="34"/>
        <v>1604.395</v>
      </c>
      <c r="L1060" s="19"/>
      <c r="O1060" s="2"/>
      <c r="P1060" s="3"/>
      <c r="Q1060" s="2"/>
      <c r="R1060" s="2"/>
      <c r="S1060" s="3"/>
      <c r="T1060" s="3"/>
      <c r="U1060" s="4"/>
      <c r="W1060" s="6"/>
    </row>
    <row r="1061" spans="1:23" ht="15" thickBot="1" x14ac:dyDescent="0.35">
      <c r="A1061" s="2">
        <v>25</v>
      </c>
      <c r="B1061" s="3" t="s">
        <v>15</v>
      </c>
      <c r="C1061" s="2">
        <v>30.2</v>
      </c>
      <c r="D1061" s="2">
        <v>0</v>
      </c>
      <c r="E1061" s="3" t="s">
        <v>17</v>
      </c>
      <c r="F1061" s="3" t="s">
        <v>8</v>
      </c>
      <c r="G1061" s="4">
        <v>33900.65</v>
      </c>
      <c r="H1061">
        <f t="shared" si="33"/>
        <v>1</v>
      </c>
      <c r="I1061" s="6">
        <f t="shared" si="34"/>
        <v>33900.65</v>
      </c>
      <c r="L1061" s="19"/>
      <c r="O1061" s="2"/>
      <c r="P1061" s="3"/>
      <c r="Q1061" s="2"/>
      <c r="R1061" s="2"/>
      <c r="S1061" s="3"/>
      <c r="T1061" s="3"/>
      <c r="U1061" s="4"/>
      <c r="W1061" s="6"/>
    </row>
    <row r="1062" spans="1:23" ht="15" thickBot="1" x14ac:dyDescent="0.35">
      <c r="A1062" s="2">
        <v>24</v>
      </c>
      <c r="B1062" s="3" t="s">
        <v>15</v>
      </c>
      <c r="C1062" s="2">
        <v>26.6</v>
      </c>
      <c r="D1062" s="2">
        <v>0</v>
      </c>
      <c r="E1062" s="3" t="s">
        <v>16</v>
      </c>
      <c r="F1062" s="3" t="s">
        <v>9</v>
      </c>
      <c r="G1062" s="4">
        <v>3046.06</v>
      </c>
      <c r="H1062">
        <f t="shared" si="33"/>
        <v>1</v>
      </c>
      <c r="I1062" s="6">
        <f t="shared" si="34"/>
        <v>3046.06</v>
      </c>
      <c r="L1062" s="19"/>
      <c r="O1062" s="2"/>
      <c r="P1062" s="3"/>
      <c r="Q1062" s="2"/>
      <c r="R1062" s="2"/>
      <c r="S1062" s="3"/>
      <c r="T1062" s="3"/>
      <c r="U1062" s="4"/>
      <c r="W1062" s="6"/>
    </row>
    <row r="1063" spans="1:23" ht="15" thickBot="1" x14ac:dyDescent="0.35">
      <c r="A1063" s="2">
        <v>24</v>
      </c>
      <c r="B1063" s="3" t="s">
        <v>15</v>
      </c>
      <c r="C1063" s="2">
        <v>33.299999999999997</v>
      </c>
      <c r="D1063" s="2">
        <v>0</v>
      </c>
      <c r="E1063" s="3" t="s">
        <v>16</v>
      </c>
      <c r="F1063" s="3" t="s">
        <v>7</v>
      </c>
      <c r="G1063" s="4">
        <v>2855.44</v>
      </c>
      <c r="H1063">
        <f t="shared" si="33"/>
        <v>1</v>
      </c>
      <c r="I1063" s="6">
        <f t="shared" si="34"/>
        <v>2855.44</v>
      </c>
      <c r="L1063" s="19"/>
      <c r="O1063" s="2"/>
      <c r="P1063" s="3"/>
      <c r="Q1063" s="2"/>
      <c r="R1063" s="2"/>
      <c r="S1063" s="3"/>
      <c r="T1063" s="3"/>
      <c r="U1063" s="4"/>
      <c r="W1063" s="6"/>
    </row>
    <row r="1064" spans="1:23" ht="15" thickBot="1" x14ac:dyDescent="0.35">
      <c r="A1064" s="2">
        <v>24</v>
      </c>
      <c r="B1064" s="3" t="s">
        <v>14</v>
      </c>
      <c r="C1064" s="2">
        <v>28.5</v>
      </c>
      <c r="D1064" s="2">
        <v>2</v>
      </c>
      <c r="E1064" s="3" t="s">
        <v>16</v>
      </c>
      <c r="F1064" s="3" t="s">
        <v>7</v>
      </c>
      <c r="G1064" s="4">
        <v>3537.7</v>
      </c>
      <c r="H1064">
        <f t="shared" si="33"/>
        <v>3</v>
      </c>
      <c r="I1064" s="6">
        <f t="shared" si="34"/>
        <v>1179.2333333333333</v>
      </c>
      <c r="L1064" s="19"/>
      <c r="O1064" s="2"/>
      <c r="P1064" s="3"/>
      <c r="Q1064" s="2"/>
      <c r="R1064" s="2"/>
      <c r="S1064" s="3"/>
      <c r="T1064" s="3"/>
      <c r="U1064" s="4"/>
      <c r="W1064" s="6"/>
    </row>
    <row r="1065" spans="1:23" ht="15" thickBot="1" x14ac:dyDescent="0.35">
      <c r="A1065" s="2">
        <v>24</v>
      </c>
      <c r="B1065" s="3" t="s">
        <v>15</v>
      </c>
      <c r="C1065" s="2">
        <v>23.2</v>
      </c>
      <c r="D1065" s="2">
        <v>0</v>
      </c>
      <c r="E1065" s="3" t="s">
        <v>16</v>
      </c>
      <c r="F1065" s="3" t="s">
        <v>10</v>
      </c>
      <c r="G1065" s="4">
        <v>25081.77</v>
      </c>
      <c r="H1065">
        <f t="shared" si="33"/>
        <v>1</v>
      </c>
      <c r="I1065" s="6">
        <f t="shared" si="34"/>
        <v>25081.77</v>
      </c>
      <c r="L1065" s="19"/>
      <c r="O1065" s="2"/>
      <c r="P1065" s="3"/>
      <c r="Q1065" s="2"/>
      <c r="R1065" s="2"/>
      <c r="S1065" s="3"/>
      <c r="T1065" s="3"/>
      <c r="U1065" s="4"/>
      <c r="W1065" s="6"/>
    </row>
    <row r="1066" spans="1:23" ht="15" thickBot="1" x14ac:dyDescent="0.35">
      <c r="A1066" s="2">
        <v>24</v>
      </c>
      <c r="B1066" s="3" t="s">
        <v>14</v>
      </c>
      <c r="C1066" s="2">
        <v>35.9</v>
      </c>
      <c r="D1066" s="2">
        <v>0</v>
      </c>
      <c r="E1066" s="3" t="s">
        <v>16</v>
      </c>
      <c r="F1066" s="3" t="s">
        <v>10</v>
      </c>
      <c r="G1066" s="4">
        <v>1986.93</v>
      </c>
      <c r="H1066">
        <f t="shared" si="33"/>
        <v>1</v>
      </c>
      <c r="I1066" s="6">
        <f t="shared" si="34"/>
        <v>1986.93</v>
      </c>
      <c r="L1066" s="19"/>
      <c r="O1066" s="2"/>
      <c r="P1066" s="3"/>
      <c r="Q1066" s="2"/>
      <c r="R1066" s="2"/>
      <c r="S1066" s="3"/>
      <c r="T1066" s="3"/>
      <c r="U1066" s="4"/>
      <c r="W1066" s="6"/>
    </row>
    <row r="1067" spans="1:23" ht="15" thickBot="1" x14ac:dyDescent="0.35">
      <c r="A1067" s="2">
        <v>24</v>
      </c>
      <c r="B1067" s="3" t="s">
        <v>15</v>
      </c>
      <c r="C1067" s="2">
        <v>27.6</v>
      </c>
      <c r="D1067" s="2">
        <v>0</v>
      </c>
      <c r="E1067" s="3" t="s">
        <v>16</v>
      </c>
      <c r="F1067" s="3" t="s">
        <v>8</v>
      </c>
      <c r="G1067" s="4">
        <v>18955.22</v>
      </c>
      <c r="H1067">
        <f t="shared" si="33"/>
        <v>1</v>
      </c>
      <c r="I1067" s="6">
        <f t="shared" si="34"/>
        <v>18955.22</v>
      </c>
      <c r="L1067" s="19"/>
      <c r="O1067" s="2"/>
      <c r="P1067" s="3"/>
      <c r="Q1067" s="2"/>
      <c r="R1067" s="2"/>
      <c r="S1067" s="3"/>
      <c r="T1067" s="3"/>
      <c r="U1067" s="4"/>
      <c r="W1067" s="6"/>
    </row>
    <row r="1068" spans="1:23" ht="15" thickBot="1" x14ac:dyDescent="0.35">
      <c r="A1068" s="2">
        <v>24</v>
      </c>
      <c r="B1068" s="3" t="s">
        <v>14</v>
      </c>
      <c r="C1068" s="2">
        <v>40.200000000000003</v>
      </c>
      <c r="D1068" s="2">
        <v>0</v>
      </c>
      <c r="E1068" s="3" t="s">
        <v>17</v>
      </c>
      <c r="F1068" s="3" t="s">
        <v>10</v>
      </c>
      <c r="G1068" s="4">
        <v>38126.25</v>
      </c>
      <c r="H1068">
        <f t="shared" si="33"/>
        <v>1</v>
      </c>
      <c r="I1068" s="6">
        <f t="shared" si="34"/>
        <v>38126.25</v>
      </c>
      <c r="L1068" s="19"/>
      <c r="O1068" s="2"/>
      <c r="P1068" s="3"/>
      <c r="Q1068" s="2"/>
      <c r="R1068" s="2"/>
      <c r="S1068" s="3"/>
      <c r="T1068" s="3"/>
      <c r="U1068" s="4"/>
      <c r="W1068" s="6"/>
    </row>
    <row r="1069" spans="1:23" ht="15" thickBot="1" x14ac:dyDescent="0.35">
      <c r="A1069" s="2">
        <v>24</v>
      </c>
      <c r="B1069" s="3" t="s">
        <v>15</v>
      </c>
      <c r="C1069" s="2">
        <v>30.2</v>
      </c>
      <c r="D1069" s="2">
        <v>3</v>
      </c>
      <c r="E1069" s="3" t="s">
        <v>16</v>
      </c>
      <c r="F1069" s="3" t="s">
        <v>7</v>
      </c>
      <c r="G1069" s="4">
        <v>4618.08</v>
      </c>
      <c r="H1069">
        <f t="shared" si="33"/>
        <v>4</v>
      </c>
      <c r="I1069" s="6">
        <f t="shared" si="34"/>
        <v>1154.52</v>
      </c>
      <c r="L1069" s="19"/>
      <c r="O1069" s="2"/>
      <c r="P1069" s="3"/>
      <c r="Q1069" s="2"/>
      <c r="R1069" s="2"/>
      <c r="S1069" s="3"/>
      <c r="T1069" s="3"/>
      <c r="U1069" s="4"/>
      <c r="W1069" s="6"/>
    </row>
    <row r="1070" spans="1:23" ht="15" thickBot="1" x14ac:dyDescent="0.35">
      <c r="A1070" s="2">
        <v>24</v>
      </c>
      <c r="B1070" s="3" t="s">
        <v>14</v>
      </c>
      <c r="C1070" s="2">
        <v>23.4</v>
      </c>
      <c r="D1070" s="2">
        <v>0</v>
      </c>
      <c r="E1070" s="3" t="s">
        <v>16</v>
      </c>
      <c r="F1070" s="3" t="s">
        <v>8</v>
      </c>
      <c r="G1070" s="4">
        <v>1969.61</v>
      </c>
      <c r="H1070">
        <f t="shared" si="33"/>
        <v>1</v>
      </c>
      <c r="I1070" s="6">
        <f t="shared" si="34"/>
        <v>1969.61</v>
      </c>
      <c r="L1070" s="19"/>
      <c r="O1070" s="2"/>
      <c r="P1070" s="3"/>
      <c r="Q1070" s="2"/>
      <c r="R1070" s="2"/>
      <c r="S1070" s="3"/>
      <c r="T1070" s="3"/>
      <c r="U1070" s="4"/>
      <c r="W1070" s="6"/>
    </row>
    <row r="1071" spans="1:23" ht="15" thickBot="1" x14ac:dyDescent="0.35">
      <c r="A1071" s="2">
        <v>24</v>
      </c>
      <c r="B1071" s="3" t="s">
        <v>14</v>
      </c>
      <c r="C1071" s="2">
        <v>28.5</v>
      </c>
      <c r="D1071" s="2">
        <v>0</v>
      </c>
      <c r="E1071" s="3" t="s">
        <v>17</v>
      </c>
      <c r="F1071" s="3" t="s">
        <v>9</v>
      </c>
      <c r="G1071" s="4">
        <v>35147.53</v>
      </c>
      <c r="H1071">
        <f t="shared" si="33"/>
        <v>1</v>
      </c>
      <c r="I1071" s="6">
        <f t="shared" si="34"/>
        <v>35147.53</v>
      </c>
      <c r="L1071" s="19"/>
      <c r="O1071" s="2"/>
      <c r="P1071" s="3"/>
      <c r="Q1071" s="2"/>
      <c r="R1071" s="2"/>
      <c r="S1071" s="3"/>
      <c r="T1071" s="3"/>
      <c r="U1071" s="4"/>
      <c r="W1071" s="6"/>
    </row>
    <row r="1072" spans="1:23" ht="15" thickBot="1" x14ac:dyDescent="0.35">
      <c r="A1072" s="2">
        <v>24</v>
      </c>
      <c r="B1072" s="3" t="s">
        <v>15</v>
      </c>
      <c r="C1072" s="2">
        <v>25.3</v>
      </c>
      <c r="D1072" s="2">
        <v>0</v>
      </c>
      <c r="E1072" s="3" t="s">
        <v>16</v>
      </c>
      <c r="F1072" s="3" t="s">
        <v>9</v>
      </c>
      <c r="G1072" s="4">
        <v>3044.21</v>
      </c>
      <c r="H1072">
        <f t="shared" si="33"/>
        <v>1</v>
      </c>
      <c r="I1072" s="6">
        <f t="shared" si="34"/>
        <v>3044.21</v>
      </c>
      <c r="L1072" s="19"/>
      <c r="O1072" s="2"/>
      <c r="P1072" s="3"/>
      <c r="Q1072" s="2"/>
      <c r="R1072" s="2"/>
      <c r="S1072" s="3"/>
      <c r="T1072" s="3"/>
      <c r="U1072" s="4"/>
      <c r="W1072" s="6"/>
    </row>
    <row r="1073" spans="1:23" ht="15" thickBot="1" x14ac:dyDescent="0.35">
      <c r="A1073" s="2">
        <v>24</v>
      </c>
      <c r="B1073" s="3" t="s">
        <v>14</v>
      </c>
      <c r="C1073" s="2">
        <v>29.3</v>
      </c>
      <c r="D1073" s="2">
        <v>0</v>
      </c>
      <c r="E1073" s="3" t="s">
        <v>16</v>
      </c>
      <c r="F1073" s="3" t="s">
        <v>8</v>
      </c>
      <c r="G1073" s="4">
        <v>1977.82</v>
      </c>
      <c r="H1073">
        <f t="shared" si="33"/>
        <v>1</v>
      </c>
      <c r="I1073" s="6">
        <f t="shared" si="34"/>
        <v>1977.82</v>
      </c>
      <c r="L1073" s="19"/>
      <c r="O1073" s="2"/>
      <c r="P1073" s="3"/>
      <c r="Q1073" s="2"/>
      <c r="R1073" s="2"/>
      <c r="S1073" s="3"/>
      <c r="T1073" s="3"/>
      <c r="U1073" s="4"/>
      <c r="W1073" s="6"/>
    </row>
    <row r="1074" spans="1:23" ht="15" thickBot="1" x14ac:dyDescent="0.35">
      <c r="A1074" s="2">
        <v>24</v>
      </c>
      <c r="B1074" s="3" t="s">
        <v>14</v>
      </c>
      <c r="C1074" s="2">
        <v>23.7</v>
      </c>
      <c r="D1074" s="2">
        <v>0</v>
      </c>
      <c r="E1074" s="3" t="s">
        <v>16</v>
      </c>
      <c r="F1074" s="3" t="s">
        <v>7</v>
      </c>
      <c r="G1074" s="4">
        <v>2352.9699999999998</v>
      </c>
      <c r="H1074">
        <f t="shared" si="33"/>
        <v>1</v>
      </c>
      <c r="I1074" s="6">
        <f t="shared" si="34"/>
        <v>2352.9699999999998</v>
      </c>
      <c r="L1074" s="19"/>
      <c r="O1074" s="2"/>
      <c r="P1074" s="3"/>
      <c r="Q1074" s="2"/>
      <c r="R1074" s="2"/>
      <c r="S1074" s="3"/>
      <c r="T1074" s="3"/>
      <c r="U1074" s="4"/>
      <c r="W1074" s="6"/>
    </row>
    <row r="1075" spans="1:23" ht="15" thickBot="1" x14ac:dyDescent="0.35">
      <c r="A1075" s="2">
        <v>24</v>
      </c>
      <c r="B1075" s="3" t="s">
        <v>15</v>
      </c>
      <c r="C1075" s="2">
        <v>22.6</v>
      </c>
      <c r="D1075" s="2">
        <v>0</v>
      </c>
      <c r="E1075" s="3" t="s">
        <v>16</v>
      </c>
      <c r="F1075" s="3" t="s">
        <v>8</v>
      </c>
      <c r="G1075" s="4">
        <v>2457.5</v>
      </c>
      <c r="H1075">
        <f t="shared" si="33"/>
        <v>1</v>
      </c>
      <c r="I1075" s="6">
        <f t="shared" si="34"/>
        <v>2457.5</v>
      </c>
      <c r="L1075" s="19"/>
      <c r="O1075" s="2"/>
      <c r="P1075" s="3"/>
      <c r="Q1075" s="2"/>
      <c r="R1075" s="2"/>
      <c r="S1075" s="3"/>
      <c r="T1075" s="3"/>
      <c r="U1075" s="4"/>
      <c r="W1075" s="6"/>
    </row>
    <row r="1076" spans="1:23" ht="15" thickBot="1" x14ac:dyDescent="0.35">
      <c r="A1076" s="2">
        <v>24</v>
      </c>
      <c r="B1076" s="3" t="s">
        <v>15</v>
      </c>
      <c r="C1076" s="2">
        <v>30.1</v>
      </c>
      <c r="D1076" s="2">
        <v>3</v>
      </c>
      <c r="E1076" s="3" t="s">
        <v>16</v>
      </c>
      <c r="F1076" s="3" t="s">
        <v>8</v>
      </c>
      <c r="G1076" s="4">
        <v>4234.93</v>
      </c>
      <c r="H1076">
        <f t="shared" si="33"/>
        <v>4</v>
      </c>
      <c r="I1076" s="6">
        <f t="shared" si="34"/>
        <v>1058.7325000000001</v>
      </c>
      <c r="L1076" s="19"/>
      <c r="O1076" s="2"/>
      <c r="P1076" s="3"/>
      <c r="Q1076" s="2"/>
      <c r="R1076" s="2"/>
      <c r="S1076" s="3"/>
      <c r="T1076" s="3"/>
      <c r="U1076" s="4"/>
      <c r="W1076" s="6"/>
    </row>
    <row r="1077" spans="1:23" ht="15" thickBot="1" x14ac:dyDescent="0.35">
      <c r="A1077" s="2">
        <v>24</v>
      </c>
      <c r="B1077" s="3" t="s">
        <v>14</v>
      </c>
      <c r="C1077" s="2">
        <v>33.6</v>
      </c>
      <c r="D1077" s="2">
        <v>4</v>
      </c>
      <c r="E1077" s="3" t="s">
        <v>16</v>
      </c>
      <c r="F1077" s="3" t="s">
        <v>9</v>
      </c>
      <c r="G1077" s="4">
        <v>17128.43</v>
      </c>
      <c r="H1077">
        <f t="shared" si="33"/>
        <v>5</v>
      </c>
      <c r="I1077" s="6">
        <f t="shared" si="34"/>
        <v>3425.6860000000001</v>
      </c>
      <c r="L1077" s="19"/>
      <c r="O1077" s="2"/>
      <c r="P1077" s="3"/>
      <c r="Q1077" s="2"/>
      <c r="R1077" s="2"/>
      <c r="S1077" s="3"/>
      <c r="T1077" s="3"/>
      <c r="U1077" s="4"/>
      <c r="W1077" s="6"/>
    </row>
    <row r="1078" spans="1:23" ht="15" thickBot="1" x14ac:dyDescent="0.35">
      <c r="A1078" s="2">
        <v>24</v>
      </c>
      <c r="B1078" s="3" t="s">
        <v>15</v>
      </c>
      <c r="C1078" s="2">
        <v>24.2</v>
      </c>
      <c r="D1078" s="2">
        <v>0</v>
      </c>
      <c r="E1078" s="3" t="s">
        <v>16</v>
      </c>
      <c r="F1078" s="3" t="s">
        <v>7</v>
      </c>
      <c r="G1078" s="4">
        <v>2842.76</v>
      </c>
      <c r="H1078">
        <f t="shared" si="33"/>
        <v>1</v>
      </c>
      <c r="I1078" s="6">
        <f t="shared" si="34"/>
        <v>2842.76</v>
      </c>
      <c r="L1078" s="19"/>
      <c r="O1078" s="2"/>
      <c r="P1078" s="3"/>
      <c r="Q1078" s="2"/>
      <c r="R1078" s="2"/>
      <c r="S1078" s="3"/>
      <c r="T1078" s="3"/>
      <c r="U1078" s="4"/>
      <c r="W1078" s="6"/>
    </row>
    <row r="1079" spans="1:23" ht="15" thickBot="1" x14ac:dyDescent="0.35">
      <c r="A1079" s="2">
        <v>24</v>
      </c>
      <c r="B1079" s="3" t="s">
        <v>15</v>
      </c>
      <c r="C1079" s="2">
        <v>34</v>
      </c>
      <c r="D1079" s="2">
        <v>0</v>
      </c>
      <c r="E1079" s="3" t="s">
        <v>16</v>
      </c>
      <c r="F1079" s="3" t="s">
        <v>10</v>
      </c>
      <c r="G1079" s="4">
        <v>2473.33</v>
      </c>
      <c r="H1079">
        <f t="shared" si="33"/>
        <v>1</v>
      </c>
      <c r="I1079" s="6">
        <f t="shared" si="34"/>
        <v>2473.33</v>
      </c>
      <c r="L1079" s="19"/>
      <c r="O1079" s="2"/>
      <c r="P1079" s="3"/>
      <c r="Q1079" s="2"/>
      <c r="R1079" s="2"/>
      <c r="S1079" s="3"/>
      <c r="T1079" s="3"/>
      <c r="U1079" s="4"/>
      <c r="W1079" s="6"/>
    </row>
    <row r="1080" spans="1:23" ht="15" thickBot="1" x14ac:dyDescent="0.35">
      <c r="A1080" s="2">
        <v>24</v>
      </c>
      <c r="B1080" s="3" t="s">
        <v>14</v>
      </c>
      <c r="C1080" s="2">
        <v>26.8</v>
      </c>
      <c r="D1080" s="2">
        <v>1</v>
      </c>
      <c r="E1080" s="3" t="s">
        <v>16</v>
      </c>
      <c r="F1080" s="3" t="s">
        <v>7</v>
      </c>
      <c r="G1080" s="4">
        <v>12609.89</v>
      </c>
      <c r="H1080">
        <f t="shared" si="33"/>
        <v>2</v>
      </c>
      <c r="I1080" s="6">
        <f t="shared" si="34"/>
        <v>6304.9449999999997</v>
      </c>
      <c r="L1080" s="19"/>
      <c r="O1080" s="2"/>
      <c r="P1080" s="3"/>
      <c r="Q1080" s="2"/>
      <c r="R1080" s="2"/>
      <c r="S1080" s="3"/>
      <c r="T1080" s="3"/>
      <c r="U1080" s="4"/>
      <c r="W1080" s="6"/>
    </row>
    <row r="1081" spans="1:23" ht="15" thickBot="1" x14ac:dyDescent="0.35">
      <c r="A1081" s="2">
        <v>24</v>
      </c>
      <c r="B1081" s="3" t="s">
        <v>15</v>
      </c>
      <c r="C1081" s="2">
        <v>20.5</v>
      </c>
      <c r="D1081" s="2">
        <v>0</v>
      </c>
      <c r="E1081" s="3" t="s">
        <v>17</v>
      </c>
      <c r="F1081" s="3" t="s">
        <v>9</v>
      </c>
      <c r="G1081" s="4">
        <v>14571.89</v>
      </c>
      <c r="H1081">
        <f t="shared" si="33"/>
        <v>1</v>
      </c>
      <c r="I1081" s="6">
        <f t="shared" si="34"/>
        <v>14571.89</v>
      </c>
      <c r="L1081" s="19"/>
      <c r="O1081" s="2"/>
      <c r="P1081" s="3"/>
      <c r="Q1081" s="2"/>
      <c r="R1081" s="2"/>
      <c r="S1081" s="3"/>
      <c r="T1081" s="3"/>
      <c r="U1081" s="4"/>
      <c r="W1081" s="6"/>
    </row>
    <row r="1082" spans="1:23" ht="15" thickBot="1" x14ac:dyDescent="0.35">
      <c r="A1082" s="2">
        <v>24</v>
      </c>
      <c r="B1082" s="3" t="s">
        <v>14</v>
      </c>
      <c r="C1082" s="2">
        <v>32.700000000000003</v>
      </c>
      <c r="D1082" s="2">
        <v>0</v>
      </c>
      <c r="E1082" s="3" t="s">
        <v>17</v>
      </c>
      <c r="F1082" s="3" t="s">
        <v>8</v>
      </c>
      <c r="G1082" s="4">
        <v>34472.839999999997</v>
      </c>
      <c r="H1082">
        <f t="shared" si="33"/>
        <v>1</v>
      </c>
      <c r="I1082" s="6">
        <f t="shared" si="34"/>
        <v>34472.839999999997</v>
      </c>
      <c r="L1082" s="19"/>
      <c r="O1082" s="2"/>
      <c r="P1082" s="3"/>
      <c r="Q1082" s="2"/>
      <c r="R1082" s="2"/>
      <c r="S1082" s="3"/>
      <c r="T1082" s="3"/>
      <c r="U1082" s="4"/>
      <c r="W1082" s="6"/>
    </row>
    <row r="1083" spans="1:23" ht="15" thickBot="1" x14ac:dyDescent="0.35">
      <c r="A1083" s="2">
        <v>24</v>
      </c>
      <c r="B1083" s="3" t="s">
        <v>14</v>
      </c>
      <c r="C1083" s="2">
        <v>25.8</v>
      </c>
      <c r="D1083" s="2">
        <v>0</v>
      </c>
      <c r="E1083" s="3" t="s">
        <v>16</v>
      </c>
      <c r="F1083" s="3" t="s">
        <v>8</v>
      </c>
      <c r="G1083" s="4">
        <v>1972.95</v>
      </c>
      <c r="H1083">
        <f t="shared" si="33"/>
        <v>1</v>
      </c>
      <c r="I1083" s="6">
        <f t="shared" si="34"/>
        <v>1972.95</v>
      </c>
      <c r="L1083" s="19"/>
      <c r="O1083" s="2"/>
      <c r="P1083" s="3"/>
      <c r="Q1083" s="2"/>
      <c r="R1083" s="2"/>
      <c r="S1083" s="3"/>
      <c r="T1083" s="3"/>
      <c r="U1083" s="4"/>
      <c r="W1083" s="6"/>
    </row>
    <row r="1084" spans="1:23" ht="15" thickBot="1" x14ac:dyDescent="0.35">
      <c r="A1084" s="2">
        <v>24</v>
      </c>
      <c r="B1084" s="3" t="s">
        <v>15</v>
      </c>
      <c r="C1084" s="2">
        <v>39.5</v>
      </c>
      <c r="D1084" s="2">
        <v>0</v>
      </c>
      <c r="E1084" s="3" t="s">
        <v>16</v>
      </c>
      <c r="F1084" s="3" t="s">
        <v>10</v>
      </c>
      <c r="G1084" s="4">
        <v>2480.98</v>
      </c>
      <c r="H1084">
        <f t="shared" si="33"/>
        <v>1</v>
      </c>
      <c r="I1084" s="6">
        <f t="shared" si="34"/>
        <v>2480.98</v>
      </c>
      <c r="L1084" s="19"/>
      <c r="O1084" s="2"/>
      <c r="P1084" s="3"/>
      <c r="Q1084" s="2"/>
      <c r="R1084" s="2"/>
      <c r="S1084" s="3"/>
      <c r="T1084" s="3"/>
      <c r="U1084" s="4"/>
      <c r="W1084" s="6"/>
    </row>
    <row r="1085" spans="1:23" ht="15" thickBot="1" x14ac:dyDescent="0.35">
      <c r="A1085" s="2">
        <v>24</v>
      </c>
      <c r="B1085" s="3" t="s">
        <v>14</v>
      </c>
      <c r="C1085" s="2">
        <v>32</v>
      </c>
      <c r="D1085" s="2">
        <v>0</v>
      </c>
      <c r="E1085" s="3" t="s">
        <v>16</v>
      </c>
      <c r="F1085" s="3" t="s">
        <v>10</v>
      </c>
      <c r="G1085" s="4">
        <v>1981.58</v>
      </c>
      <c r="H1085">
        <f t="shared" si="33"/>
        <v>1</v>
      </c>
      <c r="I1085" s="6">
        <f t="shared" si="34"/>
        <v>1981.58</v>
      </c>
      <c r="L1085" s="19"/>
      <c r="O1085" s="2"/>
      <c r="P1085" s="3"/>
      <c r="Q1085" s="2"/>
      <c r="R1085" s="2"/>
      <c r="S1085" s="3"/>
      <c r="T1085" s="3"/>
      <c r="U1085" s="4"/>
      <c r="W1085" s="6"/>
    </row>
    <row r="1086" spans="1:23" ht="15" thickBot="1" x14ac:dyDescent="0.35">
      <c r="A1086" s="2">
        <v>24</v>
      </c>
      <c r="B1086" s="3" t="s">
        <v>15</v>
      </c>
      <c r="C1086" s="2">
        <v>29.9</v>
      </c>
      <c r="D1086" s="2">
        <v>0</v>
      </c>
      <c r="E1086" s="3" t="s">
        <v>16</v>
      </c>
      <c r="F1086" s="3" t="s">
        <v>7</v>
      </c>
      <c r="G1086" s="4">
        <v>2850.68</v>
      </c>
      <c r="H1086">
        <f t="shared" si="33"/>
        <v>1</v>
      </c>
      <c r="I1086" s="6">
        <f t="shared" si="34"/>
        <v>2850.68</v>
      </c>
      <c r="L1086" s="19"/>
      <c r="O1086" s="2"/>
      <c r="P1086" s="3"/>
      <c r="Q1086" s="2"/>
      <c r="R1086" s="2"/>
      <c r="S1086" s="3"/>
      <c r="T1086" s="3"/>
      <c r="U1086" s="4"/>
      <c r="W1086" s="6"/>
    </row>
    <row r="1087" spans="1:23" ht="15" thickBot="1" x14ac:dyDescent="0.35">
      <c r="A1087" s="2">
        <v>24</v>
      </c>
      <c r="B1087" s="3" t="s">
        <v>14</v>
      </c>
      <c r="C1087" s="2">
        <v>29.8</v>
      </c>
      <c r="D1087" s="2">
        <v>0</v>
      </c>
      <c r="E1087" s="3" t="s">
        <v>17</v>
      </c>
      <c r="F1087" s="3" t="s">
        <v>9</v>
      </c>
      <c r="G1087" s="4">
        <v>18648.419999999998</v>
      </c>
      <c r="H1087">
        <f t="shared" si="33"/>
        <v>1</v>
      </c>
      <c r="I1087" s="6">
        <f t="shared" si="34"/>
        <v>18648.419999999998</v>
      </c>
      <c r="L1087" s="19"/>
      <c r="O1087" s="2"/>
      <c r="P1087" s="3"/>
      <c r="Q1087" s="2"/>
      <c r="R1087" s="2"/>
      <c r="S1087" s="3"/>
      <c r="T1087" s="3"/>
      <c r="U1087" s="4"/>
      <c r="W1087" s="6"/>
    </row>
    <row r="1088" spans="1:23" ht="15" thickBot="1" x14ac:dyDescent="0.35">
      <c r="A1088" s="2">
        <v>24</v>
      </c>
      <c r="B1088" s="3" t="s">
        <v>14</v>
      </c>
      <c r="C1088" s="2">
        <v>31.1</v>
      </c>
      <c r="D1088" s="2">
        <v>0</v>
      </c>
      <c r="E1088" s="3" t="s">
        <v>17</v>
      </c>
      <c r="F1088" s="3" t="s">
        <v>9</v>
      </c>
      <c r="G1088" s="4">
        <v>34254.050000000003</v>
      </c>
      <c r="H1088">
        <f t="shared" si="33"/>
        <v>1</v>
      </c>
      <c r="I1088" s="6">
        <f t="shared" si="34"/>
        <v>34254.050000000003</v>
      </c>
      <c r="L1088" s="19"/>
      <c r="O1088" s="2"/>
      <c r="P1088" s="3"/>
      <c r="Q1088" s="2"/>
      <c r="R1088" s="2"/>
      <c r="S1088" s="3"/>
      <c r="T1088" s="3"/>
      <c r="U1088" s="4"/>
      <c r="W1088" s="6"/>
    </row>
    <row r="1089" spans="1:23" ht="15" thickBot="1" x14ac:dyDescent="0.35">
      <c r="A1089" s="2">
        <v>24</v>
      </c>
      <c r="B1089" s="3" t="s">
        <v>15</v>
      </c>
      <c r="C1089" s="2">
        <v>27.7</v>
      </c>
      <c r="D1089" s="2">
        <v>0</v>
      </c>
      <c r="E1089" s="3" t="s">
        <v>16</v>
      </c>
      <c r="F1089" s="3" t="s">
        <v>10</v>
      </c>
      <c r="G1089" s="4">
        <v>2464.62</v>
      </c>
      <c r="H1089">
        <f t="shared" si="33"/>
        <v>1</v>
      </c>
      <c r="I1089" s="6">
        <f t="shared" si="34"/>
        <v>2464.62</v>
      </c>
      <c r="L1089" s="19"/>
      <c r="O1089" s="2"/>
      <c r="P1089" s="3"/>
      <c r="Q1089" s="2"/>
      <c r="R1089" s="2"/>
      <c r="S1089" s="3"/>
      <c r="T1089" s="3"/>
      <c r="U1089" s="4"/>
      <c r="W1089" s="6"/>
    </row>
    <row r="1090" spans="1:23" ht="15" thickBot="1" x14ac:dyDescent="0.35">
      <c r="A1090" s="2">
        <v>23</v>
      </c>
      <c r="B1090" s="3" t="s">
        <v>14</v>
      </c>
      <c r="C1090" s="2">
        <v>34.4</v>
      </c>
      <c r="D1090" s="2">
        <v>0</v>
      </c>
      <c r="E1090" s="3" t="s">
        <v>16</v>
      </c>
      <c r="F1090" s="3" t="s">
        <v>8</v>
      </c>
      <c r="G1090" s="4">
        <v>1826.84</v>
      </c>
      <c r="H1090">
        <f t="shared" si="33"/>
        <v>1</v>
      </c>
      <c r="I1090" s="6">
        <f t="shared" si="34"/>
        <v>1826.84</v>
      </c>
      <c r="L1090" s="19"/>
      <c r="O1090" s="2"/>
      <c r="P1090" s="3"/>
      <c r="Q1090" s="2"/>
      <c r="R1090" s="2"/>
      <c r="S1090" s="3"/>
      <c r="T1090" s="3"/>
      <c r="U1090" s="4"/>
      <c r="W1090" s="6"/>
    </row>
    <row r="1091" spans="1:23" ht="15" thickBot="1" x14ac:dyDescent="0.35">
      <c r="A1091" s="2">
        <v>23</v>
      </c>
      <c r="B1091" s="3" t="s">
        <v>14</v>
      </c>
      <c r="C1091" s="2">
        <v>23.8</v>
      </c>
      <c r="D1091" s="2">
        <v>0</v>
      </c>
      <c r="E1091" s="3" t="s">
        <v>16</v>
      </c>
      <c r="F1091" s="3" t="s">
        <v>9</v>
      </c>
      <c r="G1091" s="4">
        <v>2395.17</v>
      </c>
      <c r="H1091">
        <f t="shared" ref="H1091:H1154" si="35">D1091+1</f>
        <v>1</v>
      </c>
      <c r="I1091" s="6">
        <f t="shared" ref="I1091:I1154" si="36">G1091/H1091</f>
        <v>2395.17</v>
      </c>
      <c r="L1091" s="19"/>
      <c r="O1091" s="2"/>
      <c r="P1091" s="3"/>
      <c r="Q1091" s="2"/>
      <c r="R1091" s="2"/>
      <c r="S1091" s="3"/>
      <c r="T1091" s="3"/>
      <c r="U1091" s="4"/>
      <c r="W1091" s="6"/>
    </row>
    <row r="1092" spans="1:23" ht="15" thickBot="1" x14ac:dyDescent="0.35">
      <c r="A1092" s="2">
        <v>23</v>
      </c>
      <c r="B1092" s="3" t="s">
        <v>14</v>
      </c>
      <c r="C1092" s="2">
        <v>17.399999999999999</v>
      </c>
      <c r="D1092" s="2">
        <v>1</v>
      </c>
      <c r="E1092" s="3" t="s">
        <v>16</v>
      </c>
      <c r="F1092" s="3" t="s">
        <v>7</v>
      </c>
      <c r="G1092" s="4">
        <v>2775.19</v>
      </c>
      <c r="H1092">
        <f t="shared" si="35"/>
        <v>2</v>
      </c>
      <c r="I1092" s="6">
        <f t="shared" si="36"/>
        <v>1387.595</v>
      </c>
      <c r="L1092" s="19"/>
      <c r="O1092" s="2"/>
      <c r="P1092" s="3"/>
      <c r="Q1092" s="2"/>
      <c r="R1092" s="2"/>
      <c r="S1092" s="3"/>
      <c r="T1092" s="3"/>
      <c r="U1092" s="4"/>
      <c r="W1092" s="6"/>
    </row>
    <row r="1093" spans="1:23" ht="15" thickBot="1" x14ac:dyDescent="0.35">
      <c r="A1093" s="2">
        <v>23</v>
      </c>
      <c r="B1093" s="3" t="s">
        <v>15</v>
      </c>
      <c r="C1093" s="2">
        <v>36.700000000000003</v>
      </c>
      <c r="D1093" s="2">
        <v>2</v>
      </c>
      <c r="E1093" s="3" t="s">
        <v>17</v>
      </c>
      <c r="F1093" s="3" t="s">
        <v>9</v>
      </c>
      <c r="G1093" s="4">
        <v>38511.629999999997</v>
      </c>
      <c r="H1093">
        <f t="shared" si="35"/>
        <v>3</v>
      </c>
      <c r="I1093" s="6">
        <f t="shared" si="36"/>
        <v>12837.21</v>
      </c>
      <c r="L1093" s="19"/>
      <c r="O1093" s="2"/>
      <c r="P1093" s="3"/>
      <c r="Q1093" s="2"/>
      <c r="R1093" s="2"/>
      <c r="S1093" s="3"/>
      <c r="T1093" s="3"/>
      <c r="U1093" s="4"/>
      <c r="W1093" s="6"/>
    </row>
    <row r="1094" spans="1:23" ht="15" thickBot="1" x14ac:dyDescent="0.35">
      <c r="A1094" s="2">
        <v>23</v>
      </c>
      <c r="B1094" s="3" t="s">
        <v>14</v>
      </c>
      <c r="C1094" s="2">
        <v>41.9</v>
      </c>
      <c r="D1094" s="2">
        <v>0</v>
      </c>
      <c r="E1094" s="3" t="s">
        <v>16</v>
      </c>
      <c r="F1094" s="3" t="s">
        <v>10</v>
      </c>
      <c r="G1094" s="4">
        <v>1837.28</v>
      </c>
      <c r="H1094">
        <f t="shared" si="35"/>
        <v>1</v>
      </c>
      <c r="I1094" s="6">
        <f t="shared" si="36"/>
        <v>1837.28</v>
      </c>
      <c r="L1094" s="19"/>
      <c r="O1094" s="2"/>
      <c r="P1094" s="3"/>
      <c r="Q1094" s="2"/>
      <c r="R1094" s="2"/>
      <c r="S1094" s="3"/>
      <c r="T1094" s="3"/>
      <c r="U1094" s="4"/>
      <c r="W1094" s="6"/>
    </row>
    <row r="1095" spans="1:23" ht="15" thickBot="1" x14ac:dyDescent="0.35">
      <c r="A1095" s="2">
        <v>23</v>
      </c>
      <c r="B1095" s="3" t="s">
        <v>15</v>
      </c>
      <c r="C1095" s="2">
        <v>28.3</v>
      </c>
      <c r="D1095" s="2">
        <v>0</v>
      </c>
      <c r="E1095" s="3" t="s">
        <v>17</v>
      </c>
      <c r="F1095" s="3" t="s">
        <v>7</v>
      </c>
      <c r="G1095" s="4">
        <v>18033.97</v>
      </c>
      <c r="H1095">
        <f t="shared" si="35"/>
        <v>1</v>
      </c>
      <c r="I1095" s="6">
        <f t="shared" si="36"/>
        <v>18033.97</v>
      </c>
      <c r="L1095" s="19"/>
      <c r="O1095" s="2"/>
      <c r="P1095" s="3"/>
      <c r="Q1095" s="2"/>
      <c r="R1095" s="2"/>
      <c r="S1095" s="3"/>
      <c r="T1095" s="3"/>
      <c r="U1095" s="4"/>
      <c r="W1095" s="6"/>
    </row>
    <row r="1096" spans="1:23" ht="15" thickBot="1" x14ac:dyDescent="0.35">
      <c r="A1096" s="2">
        <v>23</v>
      </c>
      <c r="B1096" s="3" t="s">
        <v>14</v>
      </c>
      <c r="C1096" s="2">
        <v>32.6</v>
      </c>
      <c r="D1096" s="2">
        <v>0</v>
      </c>
      <c r="E1096" s="3" t="s">
        <v>16</v>
      </c>
      <c r="F1096" s="3" t="s">
        <v>10</v>
      </c>
      <c r="G1096" s="4">
        <v>1824.29</v>
      </c>
      <c r="H1096">
        <f t="shared" si="35"/>
        <v>1</v>
      </c>
      <c r="I1096" s="6">
        <f t="shared" si="36"/>
        <v>1824.29</v>
      </c>
      <c r="L1096" s="19"/>
      <c r="O1096" s="2"/>
      <c r="P1096" s="3"/>
      <c r="Q1096" s="2"/>
      <c r="R1096" s="2"/>
      <c r="S1096" s="3"/>
      <c r="T1096" s="3"/>
      <c r="U1096" s="4"/>
      <c r="W1096" s="6"/>
    </row>
    <row r="1097" spans="1:23" ht="15" thickBot="1" x14ac:dyDescent="0.35">
      <c r="A1097" s="2">
        <v>23</v>
      </c>
      <c r="B1097" s="3" t="s">
        <v>15</v>
      </c>
      <c r="C1097" s="2">
        <v>35</v>
      </c>
      <c r="D1097" s="2">
        <v>3</v>
      </c>
      <c r="E1097" s="3" t="s">
        <v>16</v>
      </c>
      <c r="F1097" s="3" t="s">
        <v>7</v>
      </c>
      <c r="G1097" s="4">
        <v>4466.62</v>
      </c>
      <c r="H1097">
        <f t="shared" si="35"/>
        <v>4</v>
      </c>
      <c r="I1097" s="6">
        <f t="shared" si="36"/>
        <v>1116.655</v>
      </c>
      <c r="L1097" s="19"/>
      <c r="O1097" s="2"/>
      <c r="P1097" s="3"/>
      <c r="Q1097" s="2"/>
      <c r="R1097" s="2"/>
      <c r="S1097" s="3"/>
      <c r="T1097" s="3"/>
      <c r="U1097" s="4"/>
      <c r="W1097" s="6"/>
    </row>
    <row r="1098" spans="1:23" ht="15" thickBot="1" x14ac:dyDescent="0.35">
      <c r="A1098" s="2">
        <v>23</v>
      </c>
      <c r="B1098" s="3" t="s">
        <v>15</v>
      </c>
      <c r="C1098" s="2">
        <v>39.299999999999997</v>
      </c>
      <c r="D1098" s="2">
        <v>2</v>
      </c>
      <c r="E1098" s="3" t="s">
        <v>16</v>
      </c>
      <c r="F1098" s="3" t="s">
        <v>10</v>
      </c>
      <c r="G1098" s="4">
        <v>3500.61</v>
      </c>
      <c r="H1098">
        <f t="shared" si="35"/>
        <v>3</v>
      </c>
      <c r="I1098" s="6">
        <f t="shared" si="36"/>
        <v>1166.8700000000001</v>
      </c>
      <c r="L1098" s="19"/>
      <c r="O1098" s="2"/>
      <c r="P1098" s="3"/>
      <c r="Q1098" s="2"/>
      <c r="R1098" s="2"/>
      <c r="S1098" s="3"/>
      <c r="T1098" s="3"/>
      <c r="U1098" s="4"/>
      <c r="W1098" s="6"/>
    </row>
    <row r="1099" spans="1:23" ht="15" thickBot="1" x14ac:dyDescent="0.35">
      <c r="A1099" s="2">
        <v>23</v>
      </c>
      <c r="B1099" s="3" t="s">
        <v>14</v>
      </c>
      <c r="C1099" s="2">
        <v>31.7</v>
      </c>
      <c r="D1099" s="2">
        <v>3</v>
      </c>
      <c r="E1099" s="3" t="s">
        <v>17</v>
      </c>
      <c r="F1099" s="3" t="s">
        <v>9</v>
      </c>
      <c r="G1099" s="4">
        <v>36189.1</v>
      </c>
      <c r="H1099">
        <f t="shared" si="35"/>
        <v>4</v>
      </c>
      <c r="I1099" s="6">
        <f t="shared" si="36"/>
        <v>9047.2749999999996</v>
      </c>
      <c r="L1099" s="19"/>
      <c r="O1099" s="2"/>
      <c r="P1099" s="3"/>
      <c r="Q1099" s="2"/>
      <c r="R1099" s="2"/>
      <c r="S1099" s="3"/>
      <c r="T1099" s="3"/>
      <c r="U1099" s="4"/>
      <c r="W1099" s="6"/>
    </row>
    <row r="1100" spans="1:23" ht="15" thickBot="1" x14ac:dyDescent="0.35">
      <c r="A1100" s="2">
        <v>23</v>
      </c>
      <c r="B1100" s="3" t="s">
        <v>14</v>
      </c>
      <c r="C1100" s="2">
        <v>35.200000000000003</v>
      </c>
      <c r="D1100" s="2">
        <v>1</v>
      </c>
      <c r="E1100" s="3" t="s">
        <v>16</v>
      </c>
      <c r="F1100" s="3" t="s">
        <v>8</v>
      </c>
      <c r="G1100" s="4">
        <v>2416.96</v>
      </c>
      <c r="H1100">
        <f t="shared" si="35"/>
        <v>2</v>
      </c>
      <c r="I1100" s="6">
        <f t="shared" si="36"/>
        <v>1208.48</v>
      </c>
      <c r="L1100" s="19"/>
      <c r="O1100" s="2"/>
      <c r="P1100" s="3"/>
      <c r="Q1100" s="2"/>
      <c r="R1100" s="2"/>
      <c r="S1100" s="3"/>
      <c r="T1100" s="3"/>
      <c r="U1100" s="4"/>
      <c r="W1100" s="6"/>
    </row>
    <row r="1101" spans="1:23" ht="15" thickBot="1" x14ac:dyDescent="0.35">
      <c r="A1101" s="2">
        <v>23</v>
      </c>
      <c r="B1101" s="3" t="s">
        <v>14</v>
      </c>
      <c r="C1101" s="2">
        <v>26.5</v>
      </c>
      <c r="D1101" s="2">
        <v>0</v>
      </c>
      <c r="E1101" s="3" t="s">
        <v>16</v>
      </c>
      <c r="F1101" s="3" t="s">
        <v>10</v>
      </c>
      <c r="G1101" s="4">
        <v>1815.88</v>
      </c>
      <c r="H1101">
        <f t="shared" si="35"/>
        <v>1</v>
      </c>
      <c r="I1101" s="6">
        <f t="shared" si="36"/>
        <v>1815.88</v>
      </c>
      <c r="L1101" s="19"/>
      <c r="O1101" s="2"/>
      <c r="P1101" s="3"/>
      <c r="Q1101" s="2"/>
      <c r="R1101" s="2"/>
      <c r="S1101" s="3"/>
      <c r="T1101" s="3"/>
      <c r="U1101" s="4"/>
      <c r="W1101" s="6"/>
    </row>
    <row r="1102" spans="1:23" ht="15" thickBot="1" x14ac:dyDescent="0.35">
      <c r="A1102" s="2">
        <v>23</v>
      </c>
      <c r="B1102" s="3" t="s">
        <v>14</v>
      </c>
      <c r="C1102" s="2">
        <v>37.1</v>
      </c>
      <c r="D1102" s="2">
        <v>3</v>
      </c>
      <c r="E1102" s="3" t="s">
        <v>16</v>
      </c>
      <c r="F1102" s="3" t="s">
        <v>8</v>
      </c>
      <c r="G1102" s="4">
        <v>3597.6</v>
      </c>
      <c r="H1102">
        <f t="shared" si="35"/>
        <v>4</v>
      </c>
      <c r="I1102" s="6">
        <f t="shared" si="36"/>
        <v>899.4</v>
      </c>
      <c r="L1102" s="19"/>
      <c r="O1102" s="2"/>
      <c r="P1102" s="3"/>
      <c r="Q1102" s="2"/>
      <c r="R1102" s="2"/>
      <c r="S1102" s="3"/>
      <c r="T1102" s="3"/>
      <c r="U1102" s="4"/>
      <c r="W1102" s="6"/>
    </row>
    <row r="1103" spans="1:23" ht="15" thickBot="1" x14ac:dyDescent="0.35">
      <c r="A1103" s="2">
        <v>23</v>
      </c>
      <c r="B1103" s="3" t="s">
        <v>15</v>
      </c>
      <c r="C1103" s="2">
        <v>32.799999999999997</v>
      </c>
      <c r="D1103" s="2">
        <v>2</v>
      </c>
      <c r="E1103" s="3" t="s">
        <v>17</v>
      </c>
      <c r="F1103" s="3" t="s">
        <v>10</v>
      </c>
      <c r="G1103" s="4">
        <v>36021.01</v>
      </c>
      <c r="H1103">
        <f t="shared" si="35"/>
        <v>3</v>
      </c>
      <c r="I1103" s="6">
        <f t="shared" si="36"/>
        <v>12007.003333333334</v>
      </c>
      <c r="L1103" s="19"/>
      <c r="O1103" s="2"/>
      <c r="P1103" s="3"/>
      <c r="Q1103" s="2"/>
      <c r="R1103" s="2"/>
      <c r="S1103" s="3"/>
      <c r="T1103" s="3"/>
      <c r="U1103" s="4"/>
      <c r="W1103" s="6"/>
    </row>
    <row r="1104" spans="1:23" ht="15" thickBot="1" x14ac:dyDescent="0.35">
      <c r="A1104" s="2">
        <v>23</v>
      </c>
      <c r="B1104" s="3" t="s">
        <v>14</v>
      </c>
      <c r="C1104" s="2">
        <v>50.4</v>
      </c>
      <c r="D1104" s="2">
        <v>1</v>
      </c>
      <c r="E1104" s="3" t="s">
        <v>16</v>
      </c>
      <c r="F1104" s="3" t="s">
        <v>10</v>
      </c>
      <c r="G1104" s="4">
        <v>2438.06</v>
      </c>
      <c r="H1104">
        <f t="shared" si="35"/>
        <v>2</v>
      </c>
      <c r="I1104" s="6">
        <f t="shared" si="36"/>
        <v>1219.03</v>
      </c>
      <c r="L1104" s="19"/>
      <c r="O1104" s="2"/>
      <c r="P1104" s="3"/>
      <c r="Q1104" s="2"/>
      <c r="R1104" s="2"/>
      <c r="S1104" s="3"/>
      <c r="T1104" s="3"/>
      <c r="U1104" s="4"/>
      <c r="W1104" s="6"/>
    </row>
    <row r="1105" spans="1:23" ht="15" thickBot="1" x14ac:dyDescent="0.35">
      <c r="A1105" s="2">
        <v>23</v>
      </c>
      <c r="B1105" s="3" t="s">
        <v>15</v>
      </c>
      <c r="C1105" s="2">
        <v>28.1</v>
      </c>
      <c r="D1105" s="2">
        <v>0</v>
      </c>
      <c r="E1105" s="3" t="s">
        <v>16</v>
      </c>
      <c r="F1105" s="3" t="s">
        <v>7</v>
      </c>
      <c r="G1105" s="4">
        <v>2690.11</v>
      </c>
      <c r="H1105">
        <f t="shared" si="35"/>
        <v>1</v>
      </c>
      <c r="I1105" s="6">
        <f t="shared" si="36"/>
        <v>2690.11</v>
      </c>
      <c r="L1105" s="19"/>
      <c r="O1105" s="2"/>
      <c r="P1105" s="3"/>
      <c r="Q1105" s="2"/>
      <c r="R1105" s="2"/>
      <c r="S1105" s="3"/>
      <c r="T1105" s="3"/>
      <c r="U1105" s="4"/>
      <c r="W1105" s="6"/>
    </row>
    <row r="1106" spans="1:23" ht="15" thickBot="1" x14ac:dyDescent="0.35">
      <c r="A1106" s="2">
        <v>23</v>
      </c>
      <c r="B1106" s="3" t="s">
        <v>14</v>
      </c>
      <c r="C1106" s="2">
        <v>27.4</v>
      </c>
      <c r="D1106" s="2">
        <v>1</v>
      </c>
      <c r="E1106" s="3" t="s">
        <v>16</v>
      </c>
      <c r="F1106" s="3" t="s">
        <v>7</v>
      </c>
      <c r="G1106" s="4">
        <v>2789.06</v>
      </c>
      <c r="H1106">
        <f t="shared" si="35"/>
        <v>2</v>
      </c>
      <c r="I1106" s="6">
        <f t="shared" si="36"/>
        <v>1394.53</v>
      </c>
      <c r="L1106" s="19"/>
      <c r="O1106" s="2"/>
      <c r="P1106" s="3"/>
      <c r="Q1106" s="2"/>
      <c r="R1106" s="2"/>
      <c r="S1106" s="3"/>
      <c r="T1106" s="3"/>
      <c r="U1106" s="4"/>
      <c r="W1106" s="6"/>
    </row>
    <row r="1107" spans="1:23" ht="15" thickBot="1" x14ac:dyDescent="0.35">
      <c r="A1107" s="2">
        <v>23</v>
      </c>
      <c r="B1107" s="3" t="s">
        <v>14</v>
      </c>
      <c r="C1107" s="2">
        <v>18.7</v>
      </c>
      <c r="D1107" s="2">
        <v>0</v>
      </c>
      <c r="E1107" s="3" t="s">
        <v>16</v>
      </c>
      <c r="F1107" s="3" t="s">
        <v>7</v>
      </c>
      <c r="G1107" s="4">
        <v>21595.38</v>
      </c>
      <c r="H1107">
        <f t="shared" si="35"/>
        <v>1</v>
      </c>
      <c r="I1107" s="6">
        <f t="shared" si="36"/>
        <v>21595.38</v>
      </c>
      <c r="L1107" s="19"/>
      <c r="O1107" s="2"/>
      <c r="P1107" s="3"/>
      <c r="Q1107" s="2"/>
      <c r="R1107" s="2"/>
      <c r="S1107" s="3"/>
      <c r="T1107" s="3"/>
      <c r="U1107" s="4"/>
      <c r="W1107" s="6"/>
    </row>
    <row r="1108" spans="1:23" ht="15" thickBot="1" x14ac:dyDescent="0.35">
      <c r="A1108" s="2">
        <v>23</v>
      </c>
      <c r="B1108" s="3" t="s">
        <v>14</v>
      </c>
      <c r="C1108" s="2">
        <v>32.700000000000003</v>
      </c>
      <c r="D1108" s="2">
        <v>3</v>
      </c>
      <c r="E1108" s="3" t="s">
        <v>16</v>
      </c>
      <c r="F1108" s="3" t="s">
        <v>8</v>
      </c>
      <c r="G1108" s="4">
        <v>3591.48</v>
      </c>
      <c r="H1108">
        <f t="shared" si="35"/>
        <v>4</v>
      </c>
      <c r="I1108" s="6">
        <f t="shared" si="36"/>
        <v>897.87</v>
      </c>
      <c r="L1108" s="19"/>
      <c r="O1108" s="2"/>
      <c r="P1108" s="3"/>
      <c r="Q1108" s="2"/>
      <c r="R1108" s="2"/>
      <c r="S1108" s="3"/>
      <c r="T1108" s="3"/>
      <c r="U1108" s="4"/>
      <c r="W1108" s="6"/>
    </row>
    <row r="1109" spans="1:23" ht="15" thickBot="1" x14ac:dyDescent="0.35">
      <c r="A1109" s="2">
        <v>23</v>
      </c>
      <c r="B1109" s="3" t="s">
        <v>14</v>
      </c>
      <c r="C1109" s="2">
        <v>24.5</v>
      </c>
      <c r="D1109" s="2">
        <v>0</v>
      </c>
      <c r="E1109" s="3" t="s">
        <v>16</v>
      </c>
      <c r="F1109" s="3" t="s">
        <v>9</v>
      </c>
      <c r="G1109" s="4">
        <v>2396.1</v>
      </c>
      <c r="H1109">
        <f t="shared" si="35"/>
        <v>1</v>
      </c>
      <c r="I1109" s="6">
        <f t="shared" si="36"/>
        <v>2396.1</v>
      </c>
      <c r="L1109" s="19"/>
      <c r="O1109" s="2"/>
      <c r="P1109" s="3"/>
      <c r="Q1109" s="2"/>
      <c r="R1109" s="2"/>
      <c r="S1109" s="3"/>
      <c r="T1109" s="3"/>
      <c r="U1109" s="4"/>
      <c r="W1109" s="6"/>
    </row>
    <row r="1110" spans="1:23" ht="15" thickBot="1" x14ac:dyDescent="0.35">
      <c r="A1110" s="2">
        <v>23</v>
      </c>
      <c r="B1110" s="3" t="s">
        <v>15</v>
      </c>
      <c r="C1110" s="2">
        <v>31.4</v>
      </c>
      <c r="D1110" s="2">
        <v>0</v>
      </c>
      <c r="E1110" s="3" t="s">
        <v>17</v>
      </c>
      <c r="F1110" s="3" t="s">
        <v>8</v>
      </c>
      <c r="G1110" s="4">
        <v>34166.269999999997</v>
      </c>
      <c r="H1110">
        <f t="shared" si="35"/>
        <v>1</v>
      </c>
      <c r="I1110" s="6">
        <f t="shared" si="36"/>
        <v>34166.269999999997</v>
      </c>
      <c r="L1110" s="19"/>
      <c r="O1110" s="2"/>
      <c r="P1110" s="3"/>
      <c r="Q1110" s="2"/>
      <c r="R1110" s="2"/>
      <c r="S1110" s="3"/>
      <c r="T1110" s="3"/>
      <c r="U1110" s="4"/>
      <c r="W1110" s="6"/>
    </row>
    <row r="1111" spans="1:23" ht="15" thickBot="1" x14ac:dyDescent="0.35">
      <c r="A1111" s="2">
        <v>23</v>
      </c>
      <c r="B1111" s="3" t="s">
        <v>15</v>
      </c>
      <c r="C1111" s="2">
        <v>42.8</v>
      </c>
      <c r="D1111" s="2">
        <v>1</v>
      </c>
      <c r="E1111" s="3" t="s">
        <v>17</v>
      </c>
      <c r="F1111" s="3" t="s">
        <v>9</v>
      </c>
      <c r="G1111" s="4">
        <v>40904.199999999997</v>
      </c>
      <c r="H1111">
        <f t="shared" si="35"/>
        <v>2</v>
      </c>
      <c r="I1111" s="6">
        <f t="shared" si="36"/>
        <v>20452.099999999999</v>
      </c>
      <c r="L1111" s="19"/>
      <c r="O1111" s="2"/>
      <c r="P1111" s="3"/>
      <c r="Q1111" s="2"/>
      <c r="R1111" s="2"/>
      <c r="S1111" s="3"/>
      <c r="T1111" s="3"/>
      <c r="U1111" s="4"/>
      <c r="W1111" s="6"/>
    </row>
    <row r="1112" spans="1:23" ht="15" thickBot="1" x14ac:dyDescent="0.35">
      <c r="A1112" s="2">
        <v>23</v>
      </c>
      <c r="B1112" s="3" t="s">
        <v>15</v>
      </c>
      <c r="C1112" s="2">
        <v>23.2</v>
      </c>
      <c r="D1112" s="2">
        <v>2</v>
      </c>
      <c r="E1112" s="3" t="s">
        <v>16</v>
      </c>
      <c r="F1112" s="3" t="s">
        <v>7</v>
      </c>
      <c r="G1112" s="4">
        <v>14426.07</v>
      </c>
      <c r="H1112">
        <f t="shared" si="35"/>
        <v>3</v>
      </c>
      <c r="I1112" s="6">
        <f t="shared" si="36"/>
        <v>4808.6899999999996</v>
      </c>
      <c r="L1112" s="19"/>
      <c r="O1112" s="2"/>
      <c r="P1112" s="3"/>
      <c r="Q1112" s="2"/>
      <c r="R1112" s="2"/>
      <c r="S1112" s="3"/>
      <c r="T1112" s="3"/>
      <c r="U1112" s="4"/>
      <c r="W1112" s="6"/>
    </row>
    <row r="1113" spans="1:23" ht="15" thickBot="1" x14ac:dyDescent="0.35">
      <c r="A1113" s="2">
        <v>23</v>
      </c>
      <c r="B1113" s="3" t="s">
        <v>15</v>
      </c>
      <c r="C1113" s="2">
        <v>34.9</v>
      </c>
      <c r="D1113" s="2">
        <v>0</v>
      </c>
      <c r="E1113" s="3" t="s">
        <v>16</v>
      </c>
      <c r="F1113" s="3" t="s">
        <v>9</v>
      </c>
      <c r="G1113" s="4">
        <v>2899.49</v>
      </c>
      <c r="H1113">
        <f t="shared" si="35"/>
        <v>1</v>
      </c>
      <c r="I1113" s="6">
        <f t="shared" si="36"/>
        <v>2899.49</v>
      </c>
      <c r="L1113" s="19"/>
      <c r="O1113" s="2"/>
      <c r="P1113" s="3"/>
      <c r="Q1113" s="2"/>
      <c r="R1113" s="2"/>
      <c r="S1113" s="3"/>
      <c r="T1113" s="3"/>
      <c r="U1113" s="4"/>
      <c r="W1113" s="6"/>
    </row>
    <row r="1114" spans="1:23" ht="15" thickBot="1" x14ac:dyDescent="0.35">
      <c r="A1114" s="2">
        <v>23</v>
      </c>
      <c r="B1114" s="3" t="s">
        <v>15</v>
      </c>
      <c r="C1114" s="2">
        <v>28.5</v>
      </c>
      <c r="D1114" s="2">
        <v>1</v>
      </c>
      <c r="E1114" s="3" t="s">
        <v>17</v>
      </c>
      <c r="F1114" s="3" t="s">
        <v>10</v>
      </c>
      <c r="G1114" s="4">
        <v>18328.240000000002</v>
      </c>
      <c r="H1114">
        <f t="shared" si="35"/>
        <v>2</v>
      </c>
      <c r="I1114" s="6">
        <f t="shared" si="36"/>
        <v>9164.1200000000008</v>
      </c>
      <c r="L1114" s="19"/>
      <c r="O1114" s="2"/>
      <c r="P1114" s="3"/>
      <c r="Q1114" s="2"/>
      <c r="R1114" s="2"/>
      <c r="S1114" s="3"/>
      <c r="T1114" s="3"/>
      <c r="U1114" s="4"/>
      <c r="W1114" s="6"/>
    </row>
    <row r="1115" spans="1:23" ht="15" thickBot="1" x14ac:dyDescent="0.35">
      <c r="A1115" s="2">
        <v>23</v>
      </c>
      <c r="B1115" s="3" t="s">
        <v>15</v>
      </c>
      <c r="C1115" s="2">
        <v>28</v>
      </c>
      <c r="D1115" s="2">
        <v>0</v>
      </c>
      <c r="E1115" s="3" t="s">
        <v>16</v>
      </c>
      <c r="F1115" s="3" t="s">
        <v>8</v>
      </c>
      <c r="G1115" s="4">
        <v>13126.68</v>
      </c>
      <c r="H1115">
        <f t="shared" si="35"/>
        <v>1</v>
      </c>
      <c r="I1115" s="6">
        <f t="shared" si="36"/>
        <v>13126.68</v>
      </c>
      <c r="L1115" s="19"/>
      <c r="O1115" s="2"/>
      <c r="P1115" s="3"/>
      <c r="Q1115" s="2"/>
      <c r="R1115" s="2"/>
      <c r="S1115" s="3"/>
      <c r="T1115" s="3"/>
      <c r="U1115" s="4"/>
      <c r="W1115" s="6"/>
    </row>
    <row r="1116" spans="1:23" ht="15" thickBot="1" x14ac:dyDescent="0.35">
      <c r="A1116" s="2">
        <v>23</v>
      </c>
      <c r="B1116" s="3" t="s">
        <v>15</v>
      </c>
      <c r="C1116" s="2">
        <v>24.2</v>
      </c>
      <c r="D1116" s="2">
        <v>2</v>
      </c>
      <c r="E1116" s="3" t="s">
        <v>16</v>
      </c>
      <c r="F1116" s="3" t="s">
        <v>9</v>
      </c>
      <c r="G1116" s="4">
        <v>22395.74</v>
      </c>
      <c r="H1116">
        <f t="shared" si="35"/>
        <v>3</v>
      </c>
      <c r="I1116" s="6">
        <f t="shared" si="36"/>
        <v>7465.2466666666669</v>
      </c>
      <c r="L1116" s="19"/>
      <c r="O1116" s="2"/>
      <c r="P1116" s="3"/>
      <c r="Q1116" s="2"/>
      <c r="R1116" s="2"/>
      <c r="S1116" s="3"/>
      <c r="T1116" s="3"/>
      <c r="U1116" s="4"/>
      <c r="W1116" s="6"/>
    </row>
    <row r="1117" spans="1:23" ht="15" thickBot="1" x14ac:dyDescent="0.35">
      <c r="A1117" s="2">
        <v>23</v>
      </c>
      <c r="B1117" s="3" t="s">
        <v>15</v>
      </c>
      <c r="C1117" s="2">
        <v>33.4</v>
      </c>
      <c r="D1117" s="2">
        <v>0</v>
      </c>
      <c r="E1117" s="3" t="s">
        <v>16</v>
      </c>
      <c r="F1117" s="3" t="s">
        <v>8</v>
      </c>
      <c r="G1117" s="4">
        <v>10795.94</v>
      </c>
      <c r="H1117">
        <f t="shared" si="35"/>
        <v>1</v>
      </c>
      <c r="I1117" s="6">
        <f t="shared" si="36"/>
        <v>10795.94</v>
      </c>
      <c r="L1117" s="19"/>
      <c r="O1117" s="2"/>
      <c r="P1117" s="3"/>
      <c r="Q1117" s="2"/>
      <c r="R1117" s="2"/>
      <c r="S1117" s="3"/>
      <c r="T1117" s="3"/>
      <c r="U1117" s="4"/>
      <c r="W1117" s="6"/>
    </row>
    <row r="1118" spans="1:23" ht="15" thickBot="1" x14ac:dyDescent="0.35">
      <c r="A1118" s="2">
        <v>22</v>
      </c>
      <c r="B1118" s="3" t="s">
        <v>14</v>
      </c>
      <c r="C1118" s="2">
        <v>35.6</v>
      </c>
      <c r="D1118" s="2">
        <v>0</v>
      </c>
      <c r="E1118" s="3" t="s">
        <v>17</v>
      </c>
      <c r="F1118" s="3" t="s">
        <v>8</v>
      </c>
      <c r="G1118" s="4">
        <v>35585.58</v>
      </c>
      <c r="H1118">
        <f t="shared" si="35"/>
        <v>1</v>
      </c>
      <c r="I1118" s="6">
        <f t="shared" si="36"/>
        <v>35585.58</v>
      </c>
      <c r="L1118" s="19"/>
      <c r="O1118" s="2"/>
      <c r="P1118" s="3"/>
      <c r="Q1118" s="2"/>
      <c r="R1118" s="2"/>
      <c r="S1118" s="3"/>
      <c r="T1118" s="3"/>
      <c r="U1118" s="4"/>
      <c r="W1118" s="6"/>
    </row>
    <row r="1119" spans="1:23" ht="15" thickBot="1" x14ac:dyDescent="0.35">
      <c r="A1119" s="2">
        <v>22</v>
      </c>
      <c r="B1119" s="3" t="s">
        <v>15</v>
      </c>
      <c r="C1119" s="2">
        <v>39.799999999999997</v>
      </c>
      <c r="D1119" s="2">
        <v>0</v>
      </c>
      <c r="E1119" s="3" t="s">
        <v>16</v>
      </c>
      <c r="F1119" s="3" t="s">
        <v>9</v>
      </c>
      <c r="G1119" s="4">
        <v>2755.02</v>
      </c>
      <c r="H1119">
        <f t="shared" si="35"/>
        <v>1</v>
      </c>
      <c r="I1119" s="6">
        <f t="shared" si="36"/>
        <v>2755.02</v>
      </c>
      <c r="L1119" s="19"/>
      <c r="O1119" s="2"/>
      <c r="P1119" s="3"/>
      <c r="Q1119" s="2"/>
      <c r="R1119" s="2"/>
      <c r="S1119" s="3"/>
      <c r="T1119" s="3"/>
      <c r="U1119" s="4"/>
      <c r="W1119" s="6"/>
    </row>
    <row r="1120" spans="1:23" ht="15" thickBot="1" x14ac:dyDescent="0.35">
      <c r="A1120" s="2">
        <v>22</v>
      </c>
      <c r="B1120" s="3" t="s">
        <v>14</v>
      </c>
      <c r="C1120" s="2">
        <v>37.6</v>
      </c>
      <c r="D1120" s="2">
        <v>1</v>
      </c>
      <c r="E1120" s="3" t="s">
        <v>17</v>
      </c>
      <c r="F1120" s="3" t="s">
        <v>10</v>
      </c>
      <c r="G1120" s="4">
        <v>37165.160000000003</v>
      </c>
      <c r="H1120">
        <f t="shared" si="35"/>
        <v>2</v>
      </c>
      <c r="I1120" s="6">
        <f t="shared" si="36"/>
        <v>18582.580000000002</v>
      </c>
      <c r="L1120" s="19"/>
      <c r="O1120" s="2"/>
      <c r="P1120" s="3"/>
      <c r="Q1120" s="2"/>
      <c r="R1120" s="2"/>
      <c r="S1120" s="3"/>
      <c r="T1120" s="3"/>
      <c r="U1120" s="4"/>
      <c r="W1120" s="6"/>
    </row>
    <row r="1121" spans="1:23" ht="15" thickBot="1" x14ac:dyDescent="0.35">
      <c r="A1121" s="2">
        <v>22</v>
      </c>
      <c r="B1121" s="3" t="s">
        <v>15</v>
      </c>
      <c r="C1121" s="2">
        <v>28.1</v>
      </c>
      <c r="D1121" s="2">
        <v>0</v>
      </c>
      <c r="E1121" s="3" t="s">
        <v>16</v>
      </c>
      <c r="F1121" s="3" t="s">
        <v>10</v>
      </c>
      <c r="G1121" s="4">
        <v>2155.6799999999998</v>
      </c>
      <c r="H1121">
        <f t="shared" si="35"/>
        <v>1</v>
      </c>
      <c r="I1121" s="6">
        <f t="shared" si="36"/>
        <v>2155.6799999999998</v>
      </c>
      <c r="L1121" s="19"/>
      <c r="O1121" s="2"/>
      <c r="P1121" s="3"/>
      <c r="Q1121" s="2"/>
      <c r="R1121" s="2"/>
      <c r="S1121" s="3"/>
      <c r="T1121" s="3"/>
      <c r="U1121" s="4"/>
      <c r="W1121" s="6"/>
    </row>
    <row r="1122" spans="1:23" ht="15" thickBot="1" x14ac:dyDescent="0.35">
      <c r="A1122" s="2">
        <v>22</v>
      </c>
      <c r="B1122" s="3" t="s">
        <v>14</v>
      </c>
      <c r="C1122" s="2">
        <v>25.2</v>
      </c>
      <c r="D1122" s="2">
        <v>0</v>
      </c>
      <c r="E1122" s="3" t="s">
        <v>16</v>
      </c>
      <c r="F1122" s="3" t="s">
        <v>7</v>
      </c>
      <c r="G1122" s="4">
        <v>2045.69</v>
      </c>
      <c r="H1122">
        <f t="shared" si="35"/>
        <v>1</v>
      </c>
      <c r="I1122" s="6">
        <f t="shared" si="36"/>
        <v>2045.69</v>
      </c>
      <c r="L1122" s="19"/>
      <c r="O1122" s="2"/>
      <c r="P1122" s="3"/>
      <c r="Q1122" s="2"/>
      <c r="R1122" s="2"/>
      <c r="S1122" s="3"/>
      <c r="T1122" s="3"/>
      <c r="U1122" s="4"/>
      <c r="W1122" s="6"/>
    </row>
    <row r="1123" spans="1:23" ht="15" thickBot="1" x14ac:dyDescent="0.35">
      <c r="A1123" s="2">
        <v>22</v>
      </c>
      <c r="B1123" s="3" t="s">
        <v>15</v>
      </c>
      <c r="C1123" s="2">
        <v>36</v>
      </c>
      <c r="D1123" s="2">
        <v>0</v>
      </c>
      <c r="E1123" s="3" t="s">
        <v>16</v>
      </c>
      <c r="F1123" s="3" t="s">
        <v>8</v>
      </c>
      <c r="G1123" s="4">
        <v>2166.73</v>
      </c>
      <c r="H1123">
        <f t="shared" si="35"/>
        <v>1</v>
      </c>
      <c r="I1123" s="6">
        <f t="shared" si="36"/>
        <v>2166.73</v>
      </c>
      <c r="L1123" s="19"/>
      <c r="O1123" s="2"/>
      <c r="P1123" s="3"/>
      <c r="Q1123" s="2"/>
      <c r="R1123" s="2"/>
      <c r="S1123" s="3"/>
      <c r="T1123" s="3"/>
      <c r="U1123" s="4"/>
      <c r="W1123" s="6"/>
    </row>
    <row r="1124" spans="1:23" ht="15" thickBot="1" x14ac:dyDescent="0.35">
      <c r="A1124" s="2">
        <v>22</v>
      </c>
      <c r="B1124" s="3" t="s">
        <v>14</v>
      </c>
      <c r="C1124" s="2">
        <v>20</v>
      </c>
      <c r="D1124" s="2">
        <v>3</v>
      </c>
      <c r="E1124" s="3" t="s">
        <v>16</v>
      </c>
      <c r="F1124" s="3" t="s">
        <v>9</v>
      </c>
      <c r="G1124" s="4">
        <v>4005.42</v>
      </c>
      <c r="H1124">
        <f t="shared" si="35"/>
        <v>4</v>
      </c>
      <c r="I1124" s="6">
        <f t="shared" si="36"/>
        <v>1001.355</v>
      </c>
      <c r="L1124" s="19"/>
      <c r="O1124" s="2"/>
      <c r="P1124" s="3"/>
      <c r="Q1124" s="2"/>
      <c r="R1124" s="2"/>
      <c r="S1124" s="3"/>
      <c r="T1124" s="3"/>
      <c r="U1124" s="4"/>
      <c r="W1124" s="6"/>
    </row>
    <row r="1125" spans="1:23" ht="15" thickBot="1" x14ac:dyDescent="0.35">
      <c r="A1125" s="2">
        <v>22</v>
      </c>
      <c r="B1125" s="3" t="s">
        <v>15</v>
      </c>
      <c r="C1125" s="2">
        <v>24.3</v>
      </c>
      <c r="D1125" s="2">
        <v>0</v>
      </c>
      <c r="E1125" s="3" t="s">
        <v>16</v>
      </c>
      <c r="F1125" s="3" t="s">
        <v>8</v>
      </c>
      <c r="G1125" s="4">
        <v>2150.4699999999998</v>
      </c>
      <c r="H1125">
        <f t="shared" si="35"/>
        <v>1</v>
      </c>
      <c r="I1125" s="6">
        <f t="shared" si="36"/>
        <v>2150.4699999999998</v>
      </c>
      <c r="L1125" s="19"/>
      <c r="O1125" s="2"/>
      <c r="P1125" s="3"/>
      <c r="Q1125" s="2"/>
      <c r="R1125" s="2"/>
      <c r="S1125" s="3"/>
      <c r="T1125" s="3"/>
      <c r="U1125" s="4"/>
      <c r="W1125" s="6"/>
    </row>
    <row r="1126" spans="1:23" ht="15" thickBot="1" x14ac:dyDescent="0.35">
      <c r="A1126" s="2">
        <v>22</v>
      </c>
      <c r="B1126" s="3" t="s">
        <v>15</v>
      </c>
      <c r="C1126" s="2">
        <v>28.8</v>
      </c>
      <c r="D1126" s="2">
        <v>0</v>
      </c>
      <c r="E1126" s="3" t="s">
        <v>16</v>
      </c>
      <c r="F1126" s="3" t="s">
        <v>10</v>
      </c>
      <c r="G1126" s="4">
        <v>2156.75</v>
      </c>
      <c r="H1126">
        <f t="shared" si="35"/>
        <v>1</v>
      </c>
      <c r="I1126" s="6">
        <f t="shared" si="36"/>
        <v>2156.75</v>
      </c>
      <c r="L1126" s="19"/>
      <c r="O1126" s="2"/>
      <c r="P1126" s="3"/>
      <c r="Q1126" s="2"/>
      <c r="R1126" s="2"/>
      <c r="S1126" s="3"/>
      <c r="T1126" s="3"/>
      <c r="U1126" s="4"/>
      <c r="W1126" s="6"/>
    </row>
    <row r="1127" spans="1:23" ht="15" thickBot="1" x14ac:dyDescent="0.35">
      <c r="A1127" s="2">
        <v>22</v>
      </c>
      <c r="B1127" s="3" t="s">
        <v>14</v>
      </c>
      <c r="C1127" s="2">
        <v>31.7</v>
      </c>
      <c r="D1127" s="2">
        <v>0</v>
      </c>
      <c r="E1127" s="3" t="s">
        <v>16</v>
      </c>
      <c r="F1127" s="3" t="s">
        <v>9</v>
      </c>
      <c r="G1127" s="4">
        <v>2254.8000000000002</v>
      </c>
      <c r="H1127">
        <f t="shared" si="35"/>
        <v>1</v>
      </c>
      <c r="I1127" s="6">
        <f t="shared" si="36"/>
        <v>2254.8000000000002</v>
      </c>
      <c r="L1127" s="19"/>
      <c r="O1127" s="2"/>
      <c r="P1127" s="3"/>
      <c r="Q1127" s="2"/>
      <c r="R1127" s="2"/>
      <c r="S1127" s="3"/>
      <c r="T1127" s="3"/>
      <c r="U1127" s="4"/>
      <c r="W1127" s="6"/>
    </row>
    <row r="1128" spans="1:23" ht="15" thickBot="1" x14ac:dyDescent="0.35">
      <c r="A1128" s="2">
        <v>22</v>
      </c>
      <c r="B1128" s="3" t="s">
        <v>14</v>
      </c>
      <c r="C1128" s="2">
        <v>31.4</v>
      </c>
      <c r="D1128" s="2">
        <v>1</v>
      </c>
      <c r="E1128" s="3" t="s">
        <v>16</v>
      </c>
      <c r="F1128" s="3" t="s">
        <v>7</v>
      </c>
      <c r="G1128" s="4">
        <v>2643.27</v>
      </c>
      <c r="H1128">
        <f t="shared" si="35"/>
        <v>2</v>
      </c>
      <c r="I1128" s="6">
        <f t="shared" si="36"/>
        <v>1321.635</v>
      </c>
      <c r="L1128" s="19"/>
      <c r="O1128" s="2"/>
      <c r="P1128" s="3"/>
      <c r="Q1128" s="2"/>
      <c r="R1128" s="2"/>
      <c r="S1128" s="3"/>
      <c r="T1128" s="3"/>
      <c r="U1128" s="4"/>
      <c r="W1128" s="6"/>
    </row>
    <row r="1129" spans="1:23" ht="15" thickBot="1" x14ac:dyDescent="0.35">
      <c r="A1129" s="2">
        <v>22</v>
      </c>
      <c r="B1129" s="3" t="s">
        <v>14</v>
      </c>
      <c r="C1129" s="2">
        <v>26.8</v>
      </c>
      <c r="D1129" s="2">
        <v>0</v>
      </c>
      <c r="E1129" s="3" t="s">
        <v>16</v>
      </c>
      <c r="F1129" s="3" t="s">
        <v>10</v>
      </c>
      <c r="G1129" s="4">
        <v>1665</v>
      </c>
      <c r="H1129">
        <f t="shared" si="35"/>
        <v>1</v>
      </c>
      <c r="I1129" s="6">
        <f t="shared" si="36"/>
        <v>1665</v>
      </c>
      <c r="L1129" s="19"/>
      <c r="O1129" s="2"/>
      <c r="P1129" s="3"/>
      <c r="Q1129" s="2"/>
      <c r="R1129" s="2"/>
      <c r="S1129" s="3"/>
      <c r="T1129" s="3"/>
      <c r="U1129" s="4"/>
      <c r="W1129" s="6"/>
    </row>
    <row r="1130" spans="1:23" ht="15" thickBot="1" x14ac:dyDescent="0.35">
      <c r="A1130" s="2">
        <v>22</v>
      </c>
      <c r="B1130" s="3" t="s">
        <v>15</v>
      </c>
      <c r="C1130" s="2">
        <v>34.6</v>
      </c>
      <c r="D1130" s="2">
        <v>2</v>
      </c>
      <c r="E1130" s="3" t="s">
        <v>16</v>
      </c>
      <c r="F1130" s="3" t="s">
        <v>9</v>
      </c>
      <c r="G1130" s="4">
        <v>3925.76</v>
      </c>
      <c r="H1130">
        <f t="shared" si="35"/>
        <v>3</v>
      </c>
      <c r="I1130" s="6">
        <f t="shared" si="36"/>
        <v>1308.5866666666668</v>
      </c>
      <c r="L1130" s="19"/>
      <c r="O1130" s="2"/>
      <c r="P1130" s="3"/>
      <c r="Q1130" s="2"/>
      <c r="R1130" s="2"/>
      <c r="S1130" s="3"/>
      <c r="T1130" s="3"/>
      <c r="U1130" s="4"/>
      <c r="W1130" s="6"/>
    </row>
    <row r="1131" spans="1:23" ht="15" thickBot="1" x14ac:dyDescent="0.35">
      <c r="A1131" s="2">
        <v>22</v>
      </c>
      <c r="B1131" s="3" t="s">
        <v>15</v>
      </c>
      <c r="C1131" s="2">
        <v>23.2</v>
      </c>
      <c r="D1131" s="2">
        <v>0</v>
      </c>
      <c r="E1131" s="3" t="s">
        <v>16</v>
      </c>
      <c r="F1131" s="3" t="s">
        <v>9</v>
      </c>
      <c r="G1131" s="4">
        <v>2731.91</v>
      </c>
      <c r="H1131">
        <f t="shared" si="35"/>
        <v>1</v>
      </c>
      <c r="I1131" s="6">
        <f t="shared" si="36"/>
        <v>2731.91</v>
      </c>
      <c r="L1131" s="19"/>
      <c r="O1131" s="2"/>
      <c r="P1131" s="3"/>
      <c r="Q1131" s="2"/>
      <c r="R1131" s="2"/>
      <c r="S1131" s="3"/>
      <c r="T1131" s="3"/>
      <c r="U1131" s="4"/>
      <c r="W1131" s="6"/>
    </row>
    <row r="1132" spans="1:23" ht="15" thickBot="1" x14ac:dyDescent="0.35">
      <c r="A1132" s="2">
        <v>22</v>
      </c>
      <c r="B1132" s="3" t="s">
        <v>14</v>
      </c>
      <c r="C1132" s="2">
        <v>34.799999999999997</v>
      </c>
      <c r="D1132" s="2">
        <v>3</v>
      </c>
      <c r="E1132" s="3" t="s">
        <v>16</v>
      </c>
      <c r="F1132" s="3" t="s">
        <v>8</v>
      </c>
      <c r="G1132" s="4">
        <v>3443.06</v>
      </c>
      <c r="H1132">
        <f t="shared" si="35"/>
        <v>4</v>
      </c>
      <c r="I1132" s="6">
        <f t="shared" si="36"/>
        <v>860.76499999999999</v>
      </c>
      <c r="L1132" s="19"/>
      <c r="O1132" s="2"/>
      <c r="P1132" s="3"/>
      <c r="Q1132" s="2"/>
      <c r="R1132" s="2"/>
      <c r="S1132" s="3"/>
      <c r="T1132" s="3"/>
      <c r="U1132" s="4"/>
      <c r="W1132" s="6"/>
    </row>
    <row r="1133" spans="1:23" ht="15" thickBot="1" x14ac:dyDescent="0.35">
      <c r="A1133" s="2">
        <v>22</v>
      </c>
      <c r="B1133" s="3" t="s">
        <v>14</v>
      </c>
      <c r="C1133" s="2">
        <v>39.5</v>
      </c>
      <c r="D1133" s="2">
        <v>0</v>
      </c>
      <c r="E1133" s="3" t="s">
        <v>16</v>
      </c>
      <c r="F1133" s="3" t="s">
        <v>8</v>
      </c>
      <c r="G1133" s="4">
        <v>1682.6</v>
      </c>
      <c r="H1133">
        <f t="shared" si="35"/>
        <v>1</v>
      </c>
      <c r="I1133" s="6">
        <f t="shared" si="36"/>
        <v>1682.6</v>
      </c>
      <c r="L1133" s="19"/>
      <c r="O1133" s="2"/>
      <c r="P1133" s="3"/>
      <c r="Q1133" s="2"/>
      <c r="R1133" s="2"/>
      <c r="S1133" s="3"/>
      <c r="T1133" s="3"/>
      <c r="U1133" s="4"/>
      <c r="W1133" s="6"/>
    </row>
    <row r="1134" spans="1:23" ht="15" thickBot="1" x14ac:dyDescent="0.35">
      <c r="A1134" s="2">
        <v>22</v>
      </c>
      <c r="B1134" s="3" t="s">
        <v>14</v>
      </c>
      <c r="C1134" s="2">
        <v>28.3</v>
      </c>
      <c r="D1134" s="2">
        <v>1</v>
      </c>
      <c r="E1134" s="3" t="s">
        <v>16</v>
      </c>
      <c r="F1134" s="3" t="s">
        <v>7</v>
      </c>
      <c r="G1134" s="4">
        <v>2639.04</v>
      </c>
      <c r="H1134">
        <f t="shared" si="35"/>
        <v>2</v>
      </c>
      <c r="I1134" s="6">
        <f t="shared" si="36"/>
        <v>1319.52</v>
      </c>
      <c r="L1134" s="19"/>
      <c r="O1134" s="2"/>
      <c r="P1134" s="3"/>
      <c r="Q1134" s="2"/>
      <c r="R1134" s="2"/>
      <c r="S1134" s="3"/>
      <c r="T1134" s="3"/>
      <c r="U1134" s="4"/>
      <c r="W1134" s="6"/>
    </row>
    <row r="1135" spans="1:23" ht="15" thickBot="1" x14ac:dyDescent="0.35">
      <c r="A1135" s="2">
        <v>22</v>
      </c>
      <c r="B1135" s="3" t="s">
        <v>15</v>
      </c>
      <c r="C1135" s="2">
        <v>20.2</v>
      </c>
      <c r="D1135" s="2">
        <v>0</v>
      </c>
      <c r="E1135" s="3" t="s">
        <v>16</v>
      </c>
      <c r="F1135" s="3" t="s">
        <v>7</v>
      </c>
      <c r="G1135" s="4">
        <v>2527.8200000000002</v>
      </c>
      <c r="H1135">
        <f t="shared" si="35"/>
        <v>1</v>
      </c>
      <c r="I1135" s="6">
        <f t="shared" si="36"/>
        <v>2527.8200000000002</v>
      </c>
      <c r="L1135" s="19"/>
      <c r="O1135" s="2"/>
      <c r="P1135" s="3"/>
      <c r="Q1135" s="2"/>
      <c r="R1135" s="2"/>
      <c r="S1135" s="3"/>
      <c r="T1135" s="3"/>
      <c r="U1135" s="4"/>
      <c r="W1135" s="6"/>
    </row>
    <row r="1136" spans="1:23" ht="15" thickBot="1" x14ac:dyDescent="0.35">
      <c r="A1136" s="2">
        <v>22</v>
      </c>
      <c r="B1136" s="3" t="s">
        <v>15</v>
      </c>
      <c r="C1136" s="2">
        <v>31</v>
      </c>
      <c r="D1136" s="2">
        <v>3</v>
      </c>
      <c r="E1136" s="3" t="s">
        <v>17</v>
      </c>
      <c r="F1136" s="3" t="s">
        <v>10</v>
      </c>
      <c r="G1136" s="4">
        <v>35595.589999999997</v>
      </c>
      <c r="H1136">
        <f t="shared" si="35"/>
        <v>4</v>
      </c>
      <c r="I1136" s="6">
        <f t="shared" si="36"/>
        <v>8898.8974999999991</v>
      </c>
      <c r="L1136" s="19"/>
      <c r="O1136" s="2"/>
      <c r="P1136" s="3"/>
      <c r="Q1136" s="2"/>
      <c r="R1136" s="2"/>
      <c r="S1136" s="3"/>
      <c r="T1136" s="3"/>
      <c r="U1136" s="4"/>
      <c r="W1136" s="6"/>
    </row>
    <row r="1137" spans="1:23" ht="15" thickBot="1" x14ac:dyDescent="0.35">
      <c r="A1137" s="2">
        <v>22</v>
      </c>
      <c r="B1137" s="3" t="s">
        <v>14</v>
      </c>
      <c r="C1137" s="2">
        <v>37.1</v>
      </c>
      <c r="D1137" s="2">
        <v>2</v>
      </c>
      <c r="E1137" s="3" t="s">
        <v>17</v>
      </c>
      <c r="F1137" s="3" t="s">
        <v>10</v>
      </c>
      <c r="G1137" s="4">
        <v>37484.449999999997</v>
      </c>
      <c r="H1137">
        <f t="shared" si="35"/>
        <v>3</v>
      </c>
      <c r="I1137" s="6">
        <f t="shared" si="36"/>
        <v>12494.816666666666</v>
      </c>
      <c r="L1137" s="19"/>
      <c r="O1137" s="2"/>
      <c r="P1137" s="3"/>
      <c r="Q1137" s="2"/>
      <c r="R1137" s="2"/>
      <c r="S1137" s="3"/>
      <c r="T1137" s="3"/>
      <c r="U1137" s="4"/>
      <c r="W1137" s="6"/>
    </row>
    <row r="1138" spans="1:23" ht="15" thickBot="1" x14ac:dyDescent="0.35">
      <c r="A1138" s="2">
        <v>22</v>
      </c>
      <c r="B1138" s="3" t="s">
        <v>14</v>
      </c>
      <c r="C1138" s="2">
        <v>28.9</v>
      </c>
      <c r="D1138" s="2">
        <v>0</v>
      </c>
      <c r="E1138" s="3" t="s">
        <v>16</v>
      </c>
      <c r="F1138" s="3" t="s">
        <v>9</v>
      </c>
      <c r="G1138" s="4">
        <v>2250.84</v>
      </c>
      <c r="H1138">
        <f t="shared" si="35"/>
        <v>1</v>
      </c>
      <c r="I1138" s="6">
        <f t="shared" si="36"/>
        <v>2250.84</v>
      </c>
      <c r="L1138" s="19"/>
      <c r="O1138" s="2"/>
      <c r="P1138" s="3"/>
      <c r="Q1138" s="2"/>
      <c r="R1138" s="2"/>
      <c r="S1138" s="3"/>
      <c r="T1138" s="3"/>
      <c r="U1138" s="4"/>
      <c r="W1138" s="6"/>
    </row>
    <row r="1139" spans="1:23" ht="15" thickBot="1" x14ac:dyDescent="0.35">
      <c r="A1139" s="2">
        <v>22</v>
      </c>
      <c r="B1139" s="3" t="s">
        <v>14</v>
      </c>
      <c r="C1139" s="2">
        <v>52.6</v>
      </c>
      <c r="D1139" s="2">
        <v>1</v>
      </c>
      <c r="E1139" s="3" t="s">
        <v>17</v>
      </c>
      <c r="F1139" s="3" t="s">
        <v>10</v>
      </c>
      <c r="G1139" s="4">
        <v>44501.4</v>
      </c>
      <c r="H1139">
        <f t="shared" si="35"/>
        <v>2</v>
      </c>
      <c r="I1139" s="6">
        <f t="shared" si="36"/>
        <v>22250.7</v>
      </c>
      <c r="L1139" s="19"/>
      <c r="O1139" s="2"/>
      <c r="P1139" s="3"/>
      <c r="Q1139" s="2"/>
      <c r="R1139" s="2"/>
      <c r="S1139" s="3"/>
      <c r="T1139" s="3"/>
      <c r="U1139" s="4"/>
      <c r="W1139" s="6"/>
    </row>
    <row r="1140" spans="1:23" ht="15" thickBot="1" x14ac:dyDescent="0.35">
      <c r="A1140" s="2">
        <v>22</v>
      </c>
      <c r="B1140" s="3" t="s">
        <v>15</v>
      </c>
      <c r="C1140" s="2">
        <v>30.4</v>
      </c>
      <c r="D1140" s="2">
        <v>0</v>
      </c>
      <c r="E1140" s="3" t="s">
        <v>17</v>
      </c>
      <c r="F1140" s="3" t="s">
        <v>7</v>
      </c>
      <c r="G1140" s="4">
        <v>33907.550000000003</v>
      </c>
      <c r="H1140">
        <f t="shared" si="35"/>
        <v>1</v>
      </c>
      <c r="I1140" s="6">
        <f t="shared" si="36"/>
        <v>33907.550000000003</v>
      </c>
      <c r="L1140" s="19"/>
      <c r="O1140" s="2"/>
      <c r="P1140" s="3"/>
      <c r="Q1140" s="2"/>
      <c r="R1140" s="2"/>
      <c r="S1140" s="3"/>
      <c r="T1140" s="3"/>
      <c r="U1140" s="4"/>
      <c r="W1140" s="6"/>
    </row>
    <row r="1141" spans="1:23" ht="15" thickBot="1" x14ac:dyDescent="0.35">
      <c r="A1141" s="2">
        <v>22</v>
      </c>
      <c r="B1141" s="3" t="s">
        <v>14</v>
      </c>
      <c r="C1141" s="2">
        <v>33.799999999999997</v>
      </c>
      <c r="D1141" s="2">
        <v>0</v>
      </c>
      <c r="E1141" s="3" t="s">
        <v>16</v>
      </c>
      <c r="F1141" s="3" t="s">
        <v>10</v>
      </c>
      <c r="G1141" s="4">
        <v>1674.63</v>
      </c>
      <c r="H1141">
        <f t="shared" si="35"/>
        <v>1</v>
      </c>
      <c r="I1141" s="6">
        <f t="shared" si="36"/>
        <v>1674.63</v>
      </c>
      <c r="L1141" s="19"/>
      <c r="O1141" s="2"/>
      <c r="P1141" s="3"/>
      <c r="Q1141" s="2"/>
      <c r="R1141" s="2"/>
      <c r="S1141" s="3"/>
      <c r="T1141" s="3"/>
      <c r="U1141" s="4"/>
      <c r="W1141" s="6"/>
    </row>
    <row r="1142" spans="1:23" ht="15" thickBot="1" x14ac:dyDescent="0.35">
      <c r="A1142" s="2">
        <v>22</v>
      </c>
      <c r="B1142" s="3" t="s">
        <v>15</v>
      </c>
      <c r="C1142" s="2">
        <v>27.1</v>
      </c>
      <c r="D1142" s="2">
        <v>0</v>
      </c>
      <c r="E1142" s="3" t="s">
        <v>16</v>
      </c>
      <c r="F1142" s="3" t="s">
        <v>8</v>
      </c>
      <c r="G1142" s="4">
        <v>2154.36</v>
      </c>
      <c r="H1142">
        <f t="shared" si="35"/>
        <v>1</v>
      </c>
      <c r="I1142" s="6">
        <f t="shared" si="36"/>
        <v>2154.36</v>
      </c>
      <c r="L1142" s="19"/>
      <c r="O1142" s="2"/>
      <c r="P1142" s="3"/>
      <c r="Q1142" s="2"/>
      <c r="R1142" s="2"/>
      <c r="S1142" s="3"/>
      <c r="T1142" s="3"/>
      <c r="U1142" s="4"/>
      <c r="W1142" s="6"/>
    </row>
    <row r="1143" spans="1:23" ht="15" thickBot="1" x14ac:dyDescent="0.35">
      <c r="A1143" s="2">
        <v>22</v>
      </c>
      <c r="B1143" s="3" t="s">
        <v>14</v>
      </c>
      <c r="C1143" s="2">
        <v>32.1</v>
      </c>
      <c r="D1143" s="2">
        <v>0</v>
      </c>
      <c r="E1143" s="3" t="s">
        <v>16</v>
      </c>
      <c r="F1143" s="3" t="s">
        <v>7</v>
      </c>
      <c r="G1143" s="4">
        <v>2055.3200000000002</v>
      </c>
      <c r="H1143">
        <f t="shared" si="35"/>
        <v>1</v>
      </c>
      <c r="I1143" s="6">
        <f t="shared" si="36"/>
        <v>2055.3200000000002</v>
      </c>
      <c r="L1143" s="19"/>
      <c r="O1143" s="2"/>
      <c r="P1143" s="3"/>
      <c r="Q1143" s="2"/>
      <c r="R1143" s="2"/>
      <c r="S1143" s="3"/>
      <c r="T1143" s="3"/>
      <c r="U1143" s="4"/>
      <c r="W1143" s="6"/>
    </row>
    <row r="1144" spans="1:23" ht="15" thickBot="1" x14ac:dyDescent="0.35">
      <c r="A1144" s="2">
        <v>22</v>
      </c>
      <c r="B1144" s="3" t="s">
        <v>15</v>
      </c>
      <c r="C1144" s="2">
        <v>21.3</v>
      </c>
      <c r="D1144" s="2">
        <v>3</v>
      </c>
      <c r="E1144" s="3" t="s">
        <v>16</v>
      </c>
      <c r="F1144" s="3" t="s">
        <v>7</v>
      </c>
      <c r="G1144" s="4">
        <v>4296.2700000000004</v>
      </c>
      <c r="H1144">
        <f t="shared" si="35"/>
        <v>4</v>
      </c>
      <c r="I1144" s="6">
        <f t="shared" si="36"/>
        <v>1074.0675000000001</v>
      </c>
      <c r="L1144" s="19"/>
      <c r="O1144" s="2"/>
      <c r="P1144" s="3"/>
      <c r="Q1144" s="2"/>
      <c r="R1144" s="2"/>
      <c r="S1144" s="3"/>
      <c r="T1144" s="3"/>
      <c r="U1144" s="4"/>
      <c r="W1144" s="6"/>
    </row>
    <row r="1145" spans="1:23" ht="15" thickBot="1" x14ac:dyDescent="0.35">
      <c r="A1145" s="2">
        <v>22</v>
      </c>
      <c r="B1145" s="3" t="s">
        <v>15</v>
      </c>
      <c r="C1145" s="2">
        <v>30.4</v>
      </c>
      <c r="D1145" s="2">
        <v>0</v>
      </c>
      <c r="E1145" s="3" t="s">
        <v>16</v>
      </c>
      <c r="F1145" s="3" t="s">
        <v>9</v>
      </c>
      <c r="G1145" s="4">
        <v>2741.95</v>
      </c>
      <c r="H1145">
        <f t="shared" si="35"/>
        <v>1</v>
      </c>
      <c r="I1145" s="6">
        <f t="shared" si="36"/>
        <v>2741.95</v>
      </c>
      <c r="L1145" s="19"/>
      <c r="O1145" s="2"/>
      <c r="P1145" s="3"/>
      <c r="Q1145" s="2"/>
      <c r="R1145" s="2"/>
      <c r="S1145" s="3"/>
      <c r="T1145" s="3"/>
      <c r="U1145" s="4"/>
      <c r="W1145" s="6"/>
    </row>
    <row r="1146" spans="1:23" ht="15" thickBot="1" x14ac:dyDescent="0.35">
      <c r="A1146" s="2">
        <v>21</v>
      </c>
      <c r="B1146" s="3" t="s">
        <v>15</v>
      </c>
      <c r="C1146" s="2">
        <v>33.6</v>
      </c>
      <c r="D1146" s="2">
        <v>2</v>
      </c>
      <c r="E1146" s="3" t="s">
        <v>16</v>
      </c>
      <c r="F1146" s="3" t="s">
        <v>7</v>
      </c>
      <c r="G1146" s="4">
        <v>3579.83</v>
      </c>
      <c r="H1146">
        <f t="shared" si="35"/>
        <v>3</v>
      </c>
      <c r="I1146" s="6">
        <f t="shared" si="36"/>
        <v>1193.2766666666666</v>
      </c>
      <c r="L1146" s="19"/>
      <c r="O1146" s="2"/>
      <c r="P1146" s="3"/>
      <c r="Q1146" s="2"/>
      <c r="R1146" s="2"/>
      <c r="S1146" s="3"/>
      <c r="T1146" s="3"/>
      <c r="U1146" s="4"/>
      <c r="W1146" s="6"/>
    </row>
    <row r="1147" spans="1:23" ht="15" thickBot="1" x14ac:dyDescent="0.35">
      <c r="A1147" s="2">
        <v>21</v>
      </c>
      <c r="B1147" s="3" t="s">
        <v>14</v>
      </c>
      <c r="C1147" s="2">
        <v>35.5</v>
      </c>
      <c r="D1147" s="2">
        <v>0</v>
      </c>
      <c r="E1147" s="3" t="s">
        <v>16</v>
      </c>
      <c r="F1147" s="3" t="s">
        <v>10</v>
      </c>
      <c r="G1147" s="4">
        <v>1532.47</v>
      </c>
      <c r="H1147">
        <f t="shared" si="35"/>
        <v>1</v>
      </c>
      <c r="I1147" s="6">
        <f t="shared" si="36"/>
        <v>1532.47</v>
      </c>
      <c r="L1147" s="19"/>
      <c r="O1147" s="2"/>
      <c r="P1147" s="3"/>
      <c r="Q1147" s="2"/>
      <c r="R1147" s="2"/>
      <c r="S1147" s="3"/>
      <c r="T1147" s="3"/>
      <c r="U1147" s="4"/>
      <c r="W1147" s="6"/>
    </row>
    <row r="1148" spans="1:23" ht="15" thickBot="1" x14ac:dyDescent="0.35">
      <c r="A1148" s="2">
        <v>21</v>
      </c>
      <c r="B1148" s="3" t="s">
        <v>15</v>
      </c>
      <c r="C1148" s="2">
        <v>39.5</v>
      </c>
      <c r="D1148" s="2">
        <v>0</v>
      </c>
      <c r="E1148" s="3" t="s">
        <v>16</v>
      </c>
      <c r="F1148" s="3" t="s">
        <v>10</v>
      </c>
      <c r="G1148" s="4">
        <v>2026.97</v>
      </c>
      <c r="H1148">
        <f t="shared" si="35"/>
        <v>1</v>
      </c>
      <c r="I1148" s="6">
        <f t="shared" si="36"/>
        <v>2026.97</v>
      </c>
      <c r="L1148" s="19"/>
      <c r="O1148" s="2"/>
      <c r="P1148" s="3"/>
      <c r="Q1148" s="2"/>
      <c r="R1148" s="2"/>
      <c r="S1148" s="3"/>
      <c r="T1148" s="3"/>
      <c r="U1148" s="4"/>
      <c r="W1148" s="6"/>
    </row>
    <row r="1149" spans="1:23" ht="15" thickBot="1" x14ac:dyDescent="0.35">
      <c r="A1149" s="2">
        <v>21</v>
      </c>
      <c r="B1149" s="3" t="s">
        <v>15</v>
      </c>
      <c r="C1149" s="2">
        <v>35.700000000000003</v>
      </c>
      <c r="D1149" s="2">
        <v>0</v>
      </c>
      <c r="E1149" s="3" t="s">
        <v>16</v>
      </c>
      <c r="F1149" s="3" t="s">
        <v>7</v>
      </c>
      <c r="G1149" s="4">
        <v>2404.73</v>
      </c>
      <c r="H1149">
        <f t="shared" si="35"/>
        <v>1</v>
      </c>
      <c r="I1149" s="6">
        <f t="shared" si="36"/>
        <v>2404.73</v>
      </c>
      <c r="L1149" s="19"/>
      <c r="O1149" s="2"/>
      <c r="P1149" s="3"/>
      <c r="Q1149" s="2"/>
      <c r="R1149" s="2"/>
      <c r="S1149" s="3"/>
      <c r="T1149" s="3"/>
      <c r="U1149" s="4"/>
      <c r="W1149" s="6"/>
    </row>
    <row r="1150" spans="1:23" ht="15" thickBot="1" x14ac:dyDescent="0.35">
      <c r="A1150" s="2">
        <v>21</v>
      </c>
      <c r="B1150" s="3" t="s">
        <v>15</v>
      </c>
      <c r="C1150" s="2">
        <v>26.4</v>
      </c>
      <c r="D1150" s="2">
        <v>1</v>
      </c>
      <c r="E1150" s="3" t="s">
        <v>16</v>
      </c>
      <c r="F1150" s="3" t="s">
        <v>8</v>
      </c>
      <c r="G1150" s="4">
        <v>2597.7800000000002</v>
      </c>
      <c r="H1150">
        <f t="shared" si="35"/>
        <v>2</v>
      </c>
      <c r="I1150" s="6">
        <f t="shared" si="36"/>
        <v>1298.8900000000001</v>
      </c>
      <c r="L1150" s="19"/>
      <c r="O1150" s="2"/>
      <c r="P1150" s="3"/>
      <c r="Q1150" s="2"/>
      <c r="R1150" s="2"/>
      <c r="S1150" s="3"/>
      <c r="T1150" s="3"/>
      <c r="U1150" s="4"/>
      <c r="W1150" s="6"/>
    </row>
    <row r="1151" spans="1:23" ht="15" thickBot="1" x14ac:dyDescent="0.35">
      <c r="A1151" s="2">
        <v>21</v>
      </c>
      <c r="B1151" s="3" t="s">
        <v>15</v>
      </c>
      <c r="C1151" s="2">
        <v>21.9</v>
      </c>
      <c r="D1151" s="2">
        <v>2</v>
      </c>
      <c r="E1151" s="3" t="s">
        <v>16</v>
      </c>
      <c r="F1151" s="3" t="s">
        <v>10</v>
      </c>
      <c r="G1151" s="4">
        <v>3180.51</v>
      </c>
      <c r="H1151">
        <f t="shared" si="35"/>
        <v>3</v>
      </c>
      <c r="I1151" s="6">
        <f t="shared" si="36"/>
        <v>1060.17</v>
      </c>
      <c r="L1151" s="19"/>
      <c r="O1151" s="2"/>
      <c r="P1151" s="3"/>
      <c r="Q1151" s="2"/>
      <c r="R1151" s="2"/>
      <c r="S1151" s="3"/>
      <c r="T1151" s="3"/>
      <c r="U1151" s="4"/>
      <c r="W1151" s="6"/>
    </row>
    <row r="1152" spans="1:23" ht="15" thickBot="1" x14ac:dyDescent="0.35">
      <c r="A1152" s="2">
        <v>21</v>
      </c>
      <c r="B1152" s="3" t="s">
        <v>14</v>
      </c>
      <c r="C1152" s="2">
        <v>31</v>
      </c>
      <c r="D1152" s="2">
        <v>0</v>
      </c>
      <c r="E1152" s="3" t="s">
        <v>16</v>
      </c>
      <c r="F1152" s="3" t="s">
        <v>10</v>
      </c>
      <c r="G1152" s="4">
        <v>16586.5</v>
      </c>
      <c r="H1152">
        <f t="shared" si="35"/>
        <v>1</v>
      </c>
      <c r="I1152" s="6">
        <f t="shared" si="36"/>
        <v>16586.5</v>
      </c>
      <c r="L1152" s="19"/>
      <c r="O1152" s="2"/>
      <c r="P1152" s="3"/>
      <c r="Q1152" s="2"/>
      <c r="R1152" s="2"/>
      <c r="S1152" s="3"/>
      <c r="T1152" s="3"/>
      <c r="U1152" s="4"/>
      <c r="W1152" s="6"/>
    </row>
    <row r="1153" spans="1:23" ht="15" thickBot="1" x14ac:dyDescent="0.35">
      <c r="A1153" s="2">
        <v>21</v>
      </c>
      <c r="B1153" s="3" t="s">
        <v>15</v>
      </c>
      <c r="C1153" s="2">
        <v>16.8</v>
      </c>
      <c r="D1153" s="2">
        <v>1</v>
      </c>
      <c r="E1153" s="3" t="s">
        <v>16</v>
      </c>
      <c r="F1153" s="3" t="s">
        <v>9</v>
      </c>
      <c r="G1153" s="4">
        <v>3167.46</v>
      </c>
      <c r="H1153">
        <f t="shared" si="35"/>
        <v>2</v>
      </c>
      <c r="I1153" s="6">
        <f t="shared" si="36"/>
        <v>1583.73</v>
      </c>
      <c r="L1153" s="19"/>
      <c r="O1153" s="2"/>
      <c r="P1153" s="3"/>
      <c r="Q1153" s="2"/>
      <c r="R1153" s="2"/>
      <c r="S1153" s="3"/>
      <c r="T1153" s="3"/>
      <c r="U1153" s="4"/>
      <c r="W1153" s="6"/>
    </row>
    <row r="1154" spans="1:23" ht="15" thickBot="1" x14ac:dyDescent="0.35">
      <c r="A1154" s="2">
        <v>21</v>
      </c>
      <c r="B1154" s="3" t="s">
        <v>14</v>
      </c>
      <c r="C1154" s="2">
        <v>36.9</v>
      </c>
      <c r="D1154" s="2">
        <v>0</v>
      </c>
      <c r="E1154" s="3" t="s">
        <v>16</v>
      </c>
      <c r="F1154" s="3" t="s">
        <v>10</v>
      </c>
      <c r="G1154" s="4">
        <v>1534.3</v>
      </c>
      <c r="H1154">
        <f t="shared" si="35"/>
        <v>1</v>
      </c>
      <c r="I1154" s="6">
        <f t="shared" si="36"/>
        <v>1534.3</v>
      </c>
      <c r="L1154" s="19"/>
      <c r="O1154" s="2"/>
      <c r="P1154" s="3"/>
      <c r="Q1154" s="2"/>
      <c r="R1154" s="2"/>
      <c r="S1154" s="3"/>
      <c r="T1154" s="3"/>
      <c r="U1154" s="4"/>
      <c r="W1154" s="6"/>
    </row>
    <row r="1155" spans="1:23" ht="15" thickBot="1" x14ac:dyDescent="0.35">
      <c r="A1155" s="2">
        <v>21</v>
      </c>
      <c r="B1155" s="3" t="s">
        <v>14</v>
      </c>
      <c r="C1155" s="2">
        <v>25.7</v>
      </c>
      <c r="D1155" s="2">
        <v>4</v>
      </c>
      <c r="E1155" s="3" t="s">
        <v>17</v>
      </c>
      <c r="F1155" s="3" t="s">
        <v>8</v>
      </c>
      <c r="G1155" s="4">
        <v>17942.11</v>
      </c>
      <c r="H1155">
        <f t="shared" ref="H1155:H1218" si="37">D1155+1</f>
        <v>5</v>
      </c>
      <c r="I1155" s="6">
        <f t="shared" ref="I1155:I1218" si="38">G1155/H1155</f>
        <v>3588.422</v>
      </c>
      <c r="L1155" s="19"/>
      <c r="O1155" s="2"/>
      <c r="P1155" s="3"/>
      <c r="Q1155" s="2"/>
      <c r="R1155" s="2"/>
      <c r="S1155" s="3"/>
      <c r="T1155" s="3"/>
      <c r="U1155" s="4"/>
      <c r="W1155" s="6"/>
    </row>
    <row r="1156" spans="1:23" ht="15" thickBot="1" x14ac:dyDescent="0.35">
      <c r="A1156" s="2">
        <v>21</v>
      </c>
      <c r="B1156" s="3" t="s">
        <v>14</v>
      </c>
      <c r="C1156" s="2">
        <v>23.8</v>
      </c>
      <c r="D1156" s="2">
        <v>2</v>
      </c>
      <c r="E1156" s="3" t="s">
        <v>16</v>
      </c>
      <c r="F1156" s="3" t="s">
        <v>7</v>
      </c>
      <c r="G1156" s="4">
        <v>3077.1</v>
      </c>
      <c r="H1156">
        <f t="shared" si="37"/>
        <v>3</v>
      </c>
      <c r="I1156" s="6">
        <f t="shared" si="38"/>
        <v>1025.7</v>
      </c>
      <c r="L1156" s="19"/>
      <c r="O1156" s="2"/>
      <c r="P1156" s="3"/>
      <c r="Q1156" s="2"/>
      <c r="R1156" s="2"/>
      <c r="S1156" s="3"/>
      <c r="T1156" s="3"/>
      <c r="U1156" s="4"/>
      <c r="W1156" s="6"/>
    </row>
    <row r="1157" spans="1:23" ht="15" thickBot="1" x14ac:dyDescent="0.35">
      <c r="A1157" s="2">
        <v>21</v>
      </c>
      <c r="B1157" s="3" t="s">
        <v>14</v>
      </c>
      <c r="C1157" s="2">
        <v>20.2</v>
      </c>
      <c r="D1157" s="2">
        <v>3</v>
      </c>
      <c r="E1157" s="3" t="s">
        <v>16</v>
      </c>
      <c r="F1157" s="3" t="s">
        <v>9</v>
      </c>
      <c r="G1157" s="4">
        <v>3861.21</v>
      </c>
      <c r="H1157">
        <f t="shared" si="37"/>
        <v>4</v>
      </c>
      <c r="I1157" s="6">
        <f t="shared" si="38"/>
        <v>965.30250000000001</v>
      </c>
      <c r="L1157" s="19"/>
      <c r="O1157" s="2"/>
      <c r="P1157" s="3"/>
      <c r="Q1157" s="2"/>
      <c r="R1157" s="2"/>
      <c r="S1157" s="3"/>
      <c r="T1157" s="3"/>
      <c r="U1157" s="4"/>
      <c r="W1157" s="6"/>
    </row>
    <row r="1158" spans="1:23" ht="15" thickBot="1" x14ac:dyDescent="0.35">
      <c r="A1158" s="2">
        <v>21</v>
      </c>
      <c r="B1158" s="3" t="s">
        <v>15</v>
      </c>
      <c r="C1158" s="2">
        <v>21.9</v>
      </c>
      <c r="D1158" s="2">
        <v>1</v>
      </c>
      <c r="E1158" s="3" t="s">
        <v>17</v>
      </c>
      <c r="F1158" s="3" t="s">
        <v>9</v>
      </c>
      <c r="G1158" s="4">
        <v>15359.1</v>
      </c>
      <c r="H1158">
        <f t="shared" si="37"/>
        <v>2</v>
      </c>
      <c r="I1158" s="6">
        <f t="shared" si="38"/>
        <v>7679.55</v>
      </c>
      <c r="L1158" s="19"/>
      <c r="O1158" s="2"/>
      <c r="P1158" s="3"/>
      <c r="Q1158" s="2"/>
      <c r="R1158" s="2"/>
      <c r="S1158" s="3"/>
      <c r="T1158" s="3"/>
      <c r="U1158" s="4"/>
      <c r="W1158" s="6"/>
    </row>
    <row r="1159" spans="1:23" ht="15" thickBot="1" x14ac:dyDescent="0.35">
      <c r="A1159" s="2">
        <v>21</v>
      </c>
      <c r="B1159" s="3" t="s">
        <v>15</v>
      </c>
      <c r="C1159" s="2">
        <v>17.399999999999999</v>
      </c>
      <c r="D1159" s="2">
        <v>1</v>
      </c>
      <c r="E1159" s="3" t="s">
        <v>16</v>
      </c>
      <c r="F1159" s="3" t="s">
        <v>8</v>
      </c>
      <c r="G1159" s="4">
        <v>2585.27</v>
      </c>
      <c r="H1159">
        <f t="shared" si="37"/>
        <v>2</v>
      </c>
      <c r="I1159" s="6">
        <f t="shared" si="38"/>
        <v>1292.635</v>
      </c>
      <c r="L1159" s="19"/>
      <c r="O1159" s="2"/>
      <c r="P1159" s="3"/>
      <c r="Q1159" s="2"/>
      <c r="R1159" s="2"/>
      <c r="S1159" s="3"/>
      <c r="T1159" s="3"/>
      <c r="U1159" s="4"/>
      <c r="W1159" s="6"/>
    </row>
    <row r="1160" spans="1:23" ht="15" thickBot="1" x14ac:dyDescent="0.35">
      <c r="A1160" s="2">
        <v>21</v>
      </c>
      <c r="B1160" s="3" t="s">
        <v>14</v>
      </c>
      <c r="C1160" s="2">
        <v>27.4</v>
      </c>
      <c r="D1160" s="2">
        <v>0</v>
      </c>
      <c r="E1160" s="3" t="s">
        <v>16</v>
      </c>
      <c r="F1160" s="3" t="s">
        <v>9</v>
      </c>
      <c r="G1160" s="4">
        <v>2104.11</v>
      </c>
      <c r="H1160">
        <f t="shared" si="37"/>
        <v>1</v>
      </c>
      <c r="I1160" s="6">
        <f t="shared" si="38"/>
        <v>2104.11</v>
      </c>
      <c r="L1160" s="19"/>
      <c r="O1160" s="2"/>
      <c r="P1160" s="3"/>
      <c r="Q1160" s="2"/>
      <c r="R1160" s="2"/>
      <c r="S1160" s="3"/>
      <c r="T1160" s="3"/>
      <c r="U1160" s="4"/>
      <c r="W1160" s="6"/>
    </row>
    <row r="1161" spans="1:23" ht="15" thickBot="1" x14ac:dyDescent="0.35">
      <c r="A1161" s="2">
        <v>21</v>
      </c>
      <c r="B1161" s="3" t="s">
        <v>15</v>
      </c>
      <c r="C1161" s="2">
        <v>34.9</v>
      </c>
      <c r="D1161" s="2">
        <v>0</v>
      </c>
      <c r="E1161" s="3" t="s">
        <v>16</v>
      </c>
      <c r="F1161" s="3" t="s">
        <v>10</v>
      </c>
      <c r="G1161" s="4">
        <v>2020.55</v>
      </c>
      <c r="H1161">
        <f t="shared" si="37"/>
        <v>1</v>
      </c>
      <c r="I1161" s="6">
        <f t="shared" si="38"/>
        <v>2020.55</v>
      </c>
      <c r="L1161" s="19"/>
      <c r="O1161" s="2"/>
      <c r="P1161" s="3"/>
      <c r="Q1161" s="2"/>
      <c r="R1161" s="2"/>
      <c r="S1161" s="3"/>
      <c r="T1161" s="3"/>
      <c r="U1161" s="4"/>
      <c r="W1161" s="6"/>
    </row>
    <row r="1162" spans="1:23" ht="15" thickBot="1" x14ac:dyDescent="0.35">
      <c r="A1162" s="2">
        <v>21</v>
      </c>
      <c r="B1162" s="3" t="s">
        <v>14</v>
      </c>
      <c r="C1162" s="2">
        <v>29</v>
      </c>
      <c r="D1162" s="2">
        <v>0</v>
      </c>
      <c r="E1162" s="3" t="s">
        <v>16</v>
      </c>
      <c r="F1162" s="3" t="s">
        <v>7</v>
      </c>
      <c r="G1162" s="4">
        <v>1906.36</v>
      </c>
      <c r="H1162">
        <f t="shared" si="37"/>
        <v>1</v>
      </c>
      <c r="I1162" s="6">
        <f t="shared" si="38"/>
        <v>1906.36</v>
      </c>
      <c r="L1162" s="19"/>
      <c r="O1162" s="2"/>
      <c r="P1162" s="3"/>
      <c r="Q1162" s="2"/>
      <c r="R1162" s="2"/>
      <c r="S1162" s="3"/>
      <c r="T1162" s="3"/>
      <c r="U1162" s="4"/>
      <c r="W1162" s="6"/>
    </row>
    <row r="1163" spans="1:23" ht="15" thickBot="1" x14ac:dyDescent="0.35">
      <c r="A1163" s="2">
        <v>21</v>
      </c>
      <c r="B1163" s="3" t="s">
        <v>14</v>
      </c>
      <c r="C1163" s="2">
        <v>36.9</v>
      </c>
      <c r="D1163" s="2">
        <v>0</v>
      </c>
      <c r="E1163" s="3" t="s">
        <v>16</v>
      </c>
      <c r="F1163" s="3" t="s">
        <v>7</v>
      </c>
      <c r="G1163" s="4">
        <v>1917.32</v>
      </c>
      <c r="H1163">
        <f t="shared" si="37"/>
        <v>1</v>
      </c>
      <c r="I1163" s="6">
        <f t="shared" si="38"/>
        <v>1917.32</v>
      </c>
      <c r="L1163" s="19"/>
      <c r="O1163" s="2"/>
      <c r="P1163" s="3"/>
      <c r="Q1163" s="2"/>
      <c r="R1163" s="2"/>
      <c r="S1163" s="3"/>
      <c r="T1163" s="3"/>
      <c r="U1163" s="4"/>
      <c r="W1163" s="6"/>
    </row>
    <row r="1164" spans="1:23" ht="15" thickBot="1" x14ac:dyDescent="0.35">
      <c r="A1164" s="2">
        <v>21</v>
      </c>
      <c r="B1164" s="3" t="s">
        <v>14</v>
      </c>
      <c r="C1164" s="2">
        <v>22.3</v>
      </c>
      <c r="D1164" s="2">
        <v>1</v>
      </c>
      <c r="E1164" s="3" t="s">
        <v>16</v>
      </c>
      <c r="F1164" s="3" t="s">
        <v>8</v>
      </c>
      <c r="G1164" s="4">
        <v>2103.08</v>
      </c>
      <c r="H1164">
        <f t="shared" si="37"/>
        <v>2</v>
      </c>
      <c r="I1164" s="6">
        <f t="shared" si="38"/>
        <v>1051.54</v>
      </c>
      <c r="L1164" s="19"/>
      <c r="O1164" s="2"/>
      <c r="P1164" s="3"/>
      <c r="Q1164" s="2"/>
      <c r="R1164" s="2"/>
      <c r="S1164" s="3"/>
      <c r="T1164" s="3"/>
      <c r="U1164" s="4"/>
      <c r="W1164" s="6"/>
    </row>
    <row r="1165" spans="1:23" ht="15" thickBot="1" x14ac:dyDescent="0.35">
      <c r="A1165" s="2">
        <v>21</v>
      </c>
      <c r="B1165" s="3" t="s">
        <v>14</v>
      </c>
      <c r="C1165" s="2">
        <v>31.1</v>
      </c>
      <c r="D1165" s="2">
        <v>0</v>
      </c>
      <c r="E1165" s="3" t="s">
        <v>16</v>
      </c>
      <c r="F1165" s="3" t="s">
        <v>8</v>
      </c>
      <c r="G1165" s="4">
        <v>1526.31</v>
      </c>
      <c r="H1165">
        <f t="shared" si="37"/>
        <v>1</v>
      </c>
      <c r="I1165" s="6">
        <f t="shared" si="38"/>
        <v>1526.31</v>
      </c>
      <c r="L1165" s="19"/>
      <c r="O1165" s="2"/>
      <c r="P1165" s="3"/>
      <c r="Q1165" s="2"/>
      <c r="R1165" s="2"/>
      <c r="S1165" s="3"/>
      <c r="T1165" s="3"/>
      <c r="U1165" s="4"/>
      <c r="W1165" s="6"/>
    </row>
    <row r="1166" spans="1:23" ht="15" thickBot="1" x14ac:dyDescent="0.35">
      <c r="A1166" s="2">
        <v>21</v>
      </c>
      <c r="B1166" s="3" t="s">
        <v>15</v>
      </c>
      <c r="C1166" s="2">
        <v>22.1</v>
      </c>
      <c r="D1166" s="2">
        <v>0</v>
      </c>
      <c r="E1166" s="3" t="s">
        <v>16</v>
      </c>
      <c r="F1166" s="3" t="s">
        <v>9</v>
      </c>
      <c r="G1166" s="4">
        <v>2585.85</v>
      </c>
      <c r="H1166">
        <f t="shared" si="37"/>
        <v>1</v>
      </c>
      <c r="I1166" s="6">
        <f t="shared" si="38"/>
        <v>2585.85</v>
      </c>
      <c r="L1166" s="19"/>
      <c r="O1166" s="2"/>
      <c r="P1166" s="3"/>
      <c r="Q1166" s="2"/>
      <c r="R1166" s="2"/>
      <c r="S1166" s="3"/>
      <c r="T1166" s="3"/>
      <c r="U1166" s="4"/>
      <c r="W1166" s="6"/>
    </row>
    <row r="1167" spans="1:23" ht="15" thickBot="1" x14ac:dyDescent="0.35">
      <c r="A1167" s="2">
        <v>21</v>
      </c>
      <c r="B1167" s="3" t="s">
        <v>14</v>
      </c>
      <c r="C1167" s="2">
        <v>25.7</v>
      </c>
      <c r="D1167" s="2">
        <v>2</v>
      </c>
      <c r="E1167" s="3" t="s">
        <v>16</v>
      </c>
      <c r="F1167" s="3" t="s">
        <v>9</v>
      </c>
      <c r="G1167" s="4">
        <v>3279.87</v>
      </c>
      <c r="H1167">
        <f t="shared" si="37"/>
        <v>3</v>
      </c>
      <c r="I1167" s="6">
        <f t="shared" si="38"/>
        <v>1093.29</v>
      </c>
      <c r="L1167" s="19"/>
      <c r="O1167" s="2"/>
      <c r="P1167" s="3"/>
      <c r="Q1167" s="2"/>
      <c r="R1167" s="2"/>
      <c r="S1167" s="3"/>
      <c r="T1167" s="3"/>
      <c r="U1167" s="4"/>
      <c r="W1167" s="6"/>
    </row>
    <row r="1168" spans="1:23" ht="15" thickBot="1" x14ac:dyDescent="0.35">
      <c r="A1168" s="2">
        <v>21</v>
      </c>
      <c r="B1168" s="3" t="s">
        <v>15</v>
      </c>
      <c r="C1168" s="2">
        <v>32.700000000000003</v>
      </c>
      <c r="D1168" s="2">
        <v>2</v>
      </c>
      <c r="E1168" s="3" t="s">
        <v>16</v>
      </c>
      <c r="F1168" s="3" t="s">
        <v>7</v>
      </c>
      <c r="G1168" s="4">
        <v>26018.95</v>
      </c>
      <c r="H1168">
        <f t="shared" si="37"/>
        <v>3</v>
      </c>
      <c r="I1168" s="6">
        <f t="shared" si="38"/>
        <v>8672.9833333333336</v>
      </c>
      <c r="L1168" s="19"/>
      <c r="O1168" s="2"/>
      <c r="P1168" s="3"/>
      <c r="Q1168" s="2"/>
      <c r="R1168" s="2"/>
      <c r="S1168" s="3"/>
      <c r="T1168" s="3"/>
      <c r="U1168" s="4"/>
      <c r="W1168" s="6"/>
    </row>
    <row r="1169" spans="1:23" ht="15" thickBot="1" x14ac:dyDescent="0.35">
      <c r="A1169" s="2">
        <v>21</v>
      </c>
      <c r="B1169" s="3" t="s">
        <v>15</v>
      </c>
      <c r="C1169" s="2">
        <v>34.6</v>
      </c>
      <c r="D1169" s="2">
        <v>0</v>
      </c>
      <c r="E1169" s="3" t="s">
        <v>16</v>
      </c>
      <c r="F1169" s="3" t="s">
        <v>8</v>
      </c>
      <c r="G1169" s="4">
        <v>2020.18</v>
      </c>
      <c r="H1169">
        <f t="shared" si="37"/>
        <v>1</v>
      </c>
      <c r="I1169" s="6">
        <f t="shared" si="38"/>
        <v>2020.18</v>
      </c>
      <c r="L1169" s="19"/>
      <c r="O1169" s="2"/>
      <c r="P1169" s="3"/>
      <c r="Q1169" s="2"/>
      <c r="R1169" s="2"/>
      <c r="S1169" s="3"/>
      <c r="T1169" s="3"/>
      <c r="U1169" s="4"/>
      <c r="W1169" s="6"/>
    </row>
    <row r="1170" spans="1:23" ht="15" thickBot="1" x14ac:dyDescent="0.35">
      <c r="A1170" s="2">
        <v>21</v>
      </c>
      <c r="B1170" s="3" t="s">
        <v>14</v>
      </c>
      <c r="C1170" s="2">
        <v>31.3</v>
      </c>
      <c r="D1170" s="2">
        <v>0</v>
      </c>
      <c r="E1170" s="3" t="s">
        <v>16</v>
      </c>
      <c r="F1170" s="3" t="s">
        <v>7</v>
      </c>
      <c r="G1170" s="4">
        <v>1909.53</v>
      </c>
      <c r="H1170">
        <f t="shared" si="37"/>
        <v>1</v>
      </c>
      <c r="I1170" s="6">
        <f t="shared" si="38"/>
        <v>1909.53</v>
      </c>
      <c r="L1170" s="19"/>
      <c r="O1170" s="2"/>
      <c r="P1170" s="3"/>
      <c r="Q1170" s="2"/>
      <c r="R1170" s="2"/>
      <c r="S1170" s="3"/>
      <c r="T1170" s="3"/>
      <c r="U1170" s="4"/>
      <c r="W1170" s="6"/>
    </row>
    <row r="1171" spans="1:23" ht="15" thickBot="1" x14ac:dyDescent="0.35">
      <c r="A1171" s="2">
        <v>21</v>
      </c>
      <c r="B1171" s="3" t="s">
        <v>14</v>
      </c>
      <c r="C1171" s="2">
        <v>26</v>
      </c>
      <c r="D1171" s="2">
        <v>0</v>
      </c>
      <c r="E1171" s="3" t="s">
        <v>16</v>
      </c>
      <c r="F1171" s="3" t="s">
        <v>9</v>
      </c>
      <c r="G1171" s="4">
        <v>2102.2600000000002</v>
      </c>
      <c r="H1171">
        <f t="shared" si="37"/>
        <v>1</v>
      </c>
      <c r="I1171" s="6">
        <f t="shared" si="38"/>
        <v>2102.2600000000002</v>
      </c>
      <c r="L1171" s="19"/>
      <c r="O1171" s="2"/>
      <c r="P1171" s="3"/>
      <c r="Q1171" s="2"/>
      <c r="R1171" s="2"/>
      <c r="S1171" s="3"/>
      <c r="T1171" s="3"/>
      <c r="U1171" s="4"/>
      <c r="W1171" s="6"/>
    </row>
    <row r="1172" spans="1:23" ht="15" thickBot="1" x14ac:dyDescent="0.35">
      <c r="A1172" s="2">
        <v>21</v>
      </c>
      <c r="B1172" s="3" t="s">
        <v>14</v>
      </c>
      <c r="C1172" s="2">
        <v>23.2</v>
      </c>
      <c r="D1172" s="2">
        <v>0</v>
      </c>
      <c r="E1172" s="3" t="s">
        <v>16</v>
      </c>
      <c r="F1172" s="3" t="s">
        <v>10</v>
      </c>
      <c r="G1172" s="4">
        <v>1515.34</v>
      </c>
      <c r="H1172">
        <f t="shared" si="37"/>
        <v>1</v>
      </c>
      <c r="I1172" s="6">
        <f t="shared" si="38"/>
        <v>1515.34</v>
      </c>
      <c r="L1172" s="19"/>
      <c r="O1172" s="2"/>
      <c r="P1172" s="3"/>
      <c r="Q1172" s="2"/>
      <c r="R1172" s="2"/>
      <c r="S1172" s="3"/>
      <c r="T1172" s="3"/>
      <c r="U1172" s="4"/>
      <c r="W1172" s="6"/>
    </row>
    <row r="1173" spans="1:23" ht="15" thickBot="1" x14ac:dyDescent="0.35">
      <c r="A1173" s="2">
        <v>21</v>
      </c>
      <c r="B1173" s="3" t="s">
        <v>15</v>
      </c>
      <c r="C1173" s="2">
        <v>25.8</v>
      </c>
      <c r="D1173" s="2">
        <v>0</v>
      </c>
      <c r="E1173" s="3" t="s">
        <v>16</v>
      </c>
      <c r="F1173" s="3" t="s">
        <v>8</v>
      </c>
      <c r="G1173" s="4">
        <v>2007.95</v>
      </c>
      <c r="H1173">
        <f t="shared" si="37"/>
        <v>1</v>
      </c>
      <c r="I1173" s="6">
        <f t="shared" si="38"/>
        <v>2007.95</v>
      </c>
      <c r="L1173" s="19"/>
      <c r="O1173" s="2"/>
      <c r="P1173" s="3"/>
      <c r="Q1173" s="2"/>
      <c r="R1173" s="2"/>
      <c r="S1173" s="3"/>
      <c r="T1173" s="3"/>
      <c r="U1173" s="4"/>
      <c r="W1173" s="6"/>
    </row>
    <row r="1174" spans="1:23" ht="15" thickBot="1" x14ac:dyDescent="0.35">
      <c r="A1174" s="2">
        <v>20</v>
      </c>
      <c r="B1174" s="3" t="s">
        <v>15</v>
      </c>
      <c r="C1174" s="2">
        <v>22.4</v>
      </c>
      <c r="D1174" s="2">
        <v>0</v>
      </c>
      <c r="E1174" s="3" t="s">
        <v>17</v>
      </c>
      <c r="F1174" s="3" t="s">
        <v>7</v>
      </c>
      <c r="G1174" s="4">
        <v>14711.74</v>
      </c>
      <c r="H1174">
        <f t="shared" si="37"/>
        <v>1</v>
      </c>
      <c r="I1174" s="6">
        <f t="shared" si="38"/>
        <v>14711.74</v>
      </c>
      <c r="L1174" s="19"/>
      <c r="O1174" s="2"/>
      <c r="P1174" s="3"/>
      <c r="Q1174" s="2"/>
      <c r="R1174" s="2"/>
      <c r="S1174" s="3"/>
      <c r="T1174" s="3"/>
      <c r="U1174" s="4"/>
      <c r="W1174" s="6"/>
    </row>
    <row r="1175" spans="1:23" ht="15" thickBot="1" x14ac:dyDescent="0.35">
      <c r="A1175" s="2">
        <v>20</v>
      </c>
      <c r="B1175" s="3" t="s">
        <v>14</v>
      </c>
      <c r="C1175" s="2">
        <v>28</v>
      </c>
      <c r="D1175" s="2">
        <v>1</v>
      </c>
      <c r="E1175" s="3" t="s">
        <v>17</v>
      </c>
      <c r="F1175" s="3" t="s">
        <v>7</v>
      </c>
      <c r="G1175" s="4">
        <v>17560.38</v>
      </c>
      <c r="H1175">
        <f t="shared" si="37"/>
        <v>2</v>
      </c>
      <c r="I1175" s="6">
        <f t="shared" si="38"/>
        <v>8780.19</v>
      </c>
      <c r="L1175" s="19"/>
      <c r="O1175" s="2"/>
      <c r="P1175" s="3"/>
      <c r="Q1175" s="2"/>
      <c r="R1175" s="2"/>
      <c r="S1175" s="3"/>
      <c r="T1175" s="3"/>
      <c r="U1175" s="4"/>
      <c r="W1175" s="6"/>
    </row>
    <row r="1176" spans="1:23" ht="15" thickBot="1" x14ac:dyDescent="0.35">
      <c r="A1176" s="2">
        <v>20</v>
      </c>
      <c r="B1176" s="3" t="s">
        <v>15</v>
      </c>
      <c r="C1176" s="2">
        <v>29</v>
      </c>
      <c r="D1176" s="2">
        <v>0</v>
      </c>
      <c r="E1176" s="3" t="s">
        <v>16</v>
      </c>
      <c r="F1176" s="3" t="s">
        <v>7</v>
      </c>
      <c r="G1176" s="4">
        <v>2257.48</v>
      </c>
      <c r="H1176">
        <f t="shared" si="37"/>
        <v>1</v>
      </c>
      <c r="I1176" s="6">
        <f t="shared" si="38"/>
        <v>2257.48</v>
      </c>
      <c r="L1176" s="19"/>
      <c r="O1176" s="2"/>
      <c r="P1176" s="3"/>
      <c r="Q1176" s="2"/>
      <c r="R1176" s="2"/>
      <c r="S1176" s="3"/>
      <c r="T1176" s="3"/>
      <c r="U1176" s="4"/>
      <c r="W1176" s="6"/>
    </row>
    <row r="1177" spans="1:23" ht="15" thickBot="1" x14ac:dyDescent="0.35">
      <c r="A1177" s="2">
        <v>20</v>
      </c>
      <c r="B1177" s="3" t="s">
        <v>15</v>
      </c>
      <c r="C1177" s="2">
        <v>28.8</v>
      </c>
      <c r="D1177" s="2">
        <v>0</v>
      </c>
      <c r="E1177" s="3" t="s">
        <v>16</v>
      </c>
      <c r="F1177" s="3" t="s">
        <v>9</v>
      </c>
      <c r="G1177" s="4">
        <v>2457.21</v>
      </c>
      <c r="H1177">
        <f t="shared" si="37"/>
        <v>1</v>
      </c>
      <c r="I1177" s="6">
        <f t="shared" si="38"/>
        <v>2457.21</v>
      </c>
      <c r="L1177" s="19"/>
      <c r="O1177" s="2"/>
      <c r="P1177" s="3"/>
      <c r="Q1177" s="2"/>
      <c r="R1177" s="2"/>
      <c r="S1177" s="3"/>
      <c r="T1177" s="3"/>
      <c r="U1177" s="4"/>
      <c r="W1177" s="6"/>
    </row>
    <row r="1178" spans="1:23" ht="15" thickBot="1" x14ac:dyDescent="0.35">
      <c r="A1178" s="2">
        <v>20</v>
      </c>
      <c r="B1178" s="3" t="s">
        <v>15</v>
      </c>
      <c r="C1178" s="2">
        <v>37</v>
      </c>
      <c r="D1178" s="2">
        <v>5</v>
      </c>
      <c r="E1178" s="3" t="s">
        <v>16</v>
      </c>
      <c r="F1178" s="3" t="s">
        <v>8</v>
      </c>
      <c r="G1178" s="4">
        <v>4830.63</v>
      </c>
      <c r="H1178">
        <f t="shared" si="37"/>
        <v>6</v>
      </c>
      <c r="I1178" s="6">
        <f t="shared" si="38"/>
        <v>805.10500000000002</v>
      </c>
      <c r="L1178" s="19"/>
      <c r="O1178" s="2"/>
      <c r="P1178" s="3"/>
      <c r="Q1178" s="2"/>
      <c r="R1178" s="2"/>
      <c r="S1178" s="3"/>
      <c r="T1178" s="3"/>
      <c r="U1178" s="4"/>
      <c r="W1178" s="6"/>
    </row>
    <row r="1179" spans="1:23" ht="15" thickBot="1" x14ac:dyDescent="0.35">
      <c r="A1179" s="2">
        <v>20</v>
      </c>
      <c r="B1179" s="3" t="s">
        <v>14</v>
      </c>
      <c r="C1179" s="2">
        <v>33</v>
      </c>
      <c r="D1179" s="2">
        <v>1</v>
      </c>
      <c r="E1179" s="3" t="s">
        <v>16</v>
      </c>
      <c r="F1179" s="3" t="s">
        <v>8</v>
      </c>
      <c r="G1179" s="4">
        <v>1980.07</v>
      </c>
      <c r="H1179">
        <f t="shared" si="37"/>
        <v>2</v>
      </c>
      <c r="I1179" s="6">
        <f t="shared" si="38"/>
        <v>990.03499999999997</v>
      </c>
      <c r="L1179" s="19"/>
      <c r="O1179" s="2"/>
      <c r="P1179" s="3"/>
      <c r="Q1179" s="2"/>
      <c r="R1179" s="2"/>
      <c r="S1179" s="3"/>
      <c r="T1179" s="3"/>
      <c r="U1179" s="4"/>
      <c r="W1179" s="6"/>
    </row>
    <row r="1180" spans="1:23" ht="15" thickBot="1" x14ac:dyDescent="0.35">
      <c r="A1180" s="2">
        <v>20</v>
      </c>
      <c r="B1180" s="3" t="s">
        <v>15</v>
      </c>
      <c r="C1180" s="2">
        <v>26.8</v>
      </c>
      <c r="D1180" s="2">
        <v>1</v>
      </c>
      <c r="E1180" s="3" t="s">
        <v>17</v>
      </c>
      <c r="F1180" s="3" t="s">
        <v>10</v>
      </c>
      <c r="G1180" s="4">
        <v>17085.27</v>
      </c>
      <c r="H1180">
        <f t="shared" si="37"/>
        <v>2</v>
      </c>
      <c r="I1180" s="6">
        <f t="shared" si="38"/>
        <v>8542.6350000000002</v>
      </c>
      <c r="L1180" s="19"/>
      <c r="O1180" s="2"/>
      <c r="P1180" s="3"/>
      <c r="Q1180" s="2"/>
      <c r="R1180" s="2"/>
      <c r="S1180" s="3"/>
      <c r="T1180" s="3"/>
      <c r="U1180" s="4"/>
      <c r="W1180" s="6"/>
    </row>
    <row r="1181" spans="1:23" ht="15" thickBot="1" x14ac:dyDescent="0.35">
      <c r="A1181" s="2">
        <v>20</v>
      </c>
      <c r="B1181" s="3" t="s">
        <v>14</v>
      </c>
      <c r="C1181" s="2">
        <v>33.299999999999997</v>
      </c>
      <c r="D1181" s="2">
        <v>0</v>
      </c>
      <c r="E1181" s="3" t="s">
        <v>16</v>
      </c>
      <c r="F1181" s="3" t="s">
        <v>10</v>
      </c>
      <c r="G1181" s="4">
        <v>1391.53</v>
      </c>
      <c r="H1181">
        <f t="shared" si="37"/>
        <v>1</v>
      </c>
      <c r="I1181" s="6">
        <f t="shared" si="38"/>
        <v>1391.53</v>
      </c>
      <c r="L1181" s="19"/>
      <c r="O1181" s="2"/>
      <c r="P1181" s="3"/>
      <c r="Q1181" s="2"/>
      <c r="R1181" s="2"/>
      <c r="S1181" s="3"/>
      <c r="T1181" s="3"/>
      <c r="U1181" s="4"/>
      <c r="W1181" s="6"/>
    </row>
    <row r="1182" spans="1:23" ht="15" thickBot="1" x14ac:dyDescent="0.35">
      <c r="A1182" s="2">
        <v>20</v>
      </c>
      <c r="B1182" s="3" t="s">
        <v>14</v>
      </c>
      <c r="C1182" s="2">
        <v>29.7</v>
      </c>
      <c r="D1182" s="2">
        <v>0</v>
      </c>
      <c r="E1182" s="3" t="s">
        <v>16</v>
      </c>
      <c r="F1182" s="3" t="s">
        <v>7</v>
      </c>
      <c r="G1182" s="4">
        <v>1769.53</v>
      </c>
      <c r="H1182">
        <f t="shared" si="37"/>
        <v>1</v>
      </c>
      <c r="I1182" s="6">
        <f t="shared" si="38"/>
        <v>1769.53</v>
      </c>
      <c r="L1182" s="19"/>
      <c r="O1182" s="2"/>
      <c r="P1182" s="3"/>
      <c r="Q1182" s="2"/>
      <c r="R1182" s="2"/>
      <c r="S1182" s="3"/>
      <c r="T1182" s="3"/>
      <c r="U1182" s="4"/>
      <c r="W1182" s="6"/>
    </row>
    <row r="1183" spans="1:23" ht="15" thickBot="1" x14ac:dyDescent="0.35">
      <c r="A1183" s="2">
        <v>20</v>
      </c>
      <c r="B1183" s="3" t="s">
        <v>14</v>
      </c>
      <c r="C1183" s="2">
        <v>27.9</v>
      </c>
      <c r="D1183" s="2">
        <v>0</v>
      </c>
      <c r="E1183" s="3" t="s">
        <v>16</v>
      </c>
      <c r="F1183" s="3" t="s">
        <v>9</v>
      </c>
      <c r="G1183" s="4">
        <v>1967.02</v>
      </c>
      <c r="H1183">
        <f t="shared" si="37"/>
        <v>1</v>
      </c>
      <c r="I1183" s="6">
        <f t="shared" si="38"/>
        <v>1967.02</v>
      </c>
      <c r="L1183" s="19"/>
      <c r="O1183" s="2"/>
      <c r="P1183" s="3"/>
      <c r="Q1183" s="2"/>
      <c r="R1183" s="2"/>
      <c r="S1183" s="3"/>
      <c r="T1183" s="3"/>
      <c r="U1183" s="4"/>
      <c r="W1183" s="6"/>
    </row>
    <row r="1184" spans="1:23" ht="15" thickBot="1" x14ac:dyDescent="0.35">
      <c r="A1184" s="2">
        <v>20</v>
      </c>
      <c r="B1184" s="3" t="s">
        <v>14</v>
      </c>
      <c r="C1184" s="2">
        <v>35.299999999999997</v>
      </c>
      <c r="D1184" s="2">
        <v>1</v>
      </c>
      <c r="E1184" s="3" t="s">
        <v>16</v>
      </c>
      <c r="F1184" s="3" t="s">
        <v>10</v>
      </c>
      <c r="G1184" s="4">
        <v>27724.29</v>
      </c>
      <c r="H1184">
        <f t="shared" si="37"/>
        <v>2</v>
      </c>
      <c r="I1184" s="6">
        <f t="shared" si="38"/>
        <v>13862.145</v>
      </c>
      <c r="L1184" s="19"/>
      <c r="O1184" s="2"/>
      <c r="P1184" s="3"/>
      <c r="Q1184" s="2"/>
      <c r="R1184" s="2"/>
      <c r="S1184" s="3"/>
      <c r="T1184" s="3"/>
      <c r="U1184" s="4"/>
      <c r="W1184" s="6"/>
    </row>
    <row r="1185" spans="1:23" ht="15" thickBot="1" x14ac:dyDescent="0.35">
      <c r="A1185" s="2">
        <v>20</v>
      </c>
      <c r="B1185" s="3" t="s">
        <v>15</v>
      </c>
      <c r="C1185" s="2">
        <v>31.8</v>
      </c>
      <c r="D1185" s="2">
        <v>2</v>
      </c>
      <c r="E1185" s="3" t="s">
        <v>16</v>
      </c>
      <c r="F1185" s="3" t="s">
        <v>10</v>
      </c>
      <c r="G1185" s="4">
        <v>3056.39</v>
      </c>
      <c r="H1185">
        <f t="shared" si="37"/>
        <v>3</v>
      </c>
      <c r="I1185" s="6">
        <f t="shared" si="38"/>
        <v>1018.7966666666666</v>
      </c>
      <c r="L1185" s="19"/>
      <c r="O1185" s="2"/>
      <c r="P1185" s="3"/>
      <c r="Q1185" s="2"/>
      <c r="R1185" s="2"/>
      <c r="S1185" s="3"/>
      <c r="T1185" s="3"/>
      <c r="U1185" s="4"/>
      <c r="W1185" s="6"/>
    </row>
    <row r="1186" spans="1:23" ht="15" thickBot="1" x14ac:dyDescent="0.35">
      <c r="A1186" s="2">
        <v>20</v>
      </c>
      <c r="B1186" s="3" t="s">
        <v>14</v>
      </c>
      <c r="C1186" s="2">
        <v>31.1</v>
      </c>
      <c r="D1186" s="2">
        <v>2</v>
      </c>
      <c r="E1186" s="3" t="s">
        <v>16</v>
      </c>
      <c r="F1186" s="3" t="s">
        <v>10</v>
      </c>
      <c r="G1186" s="4">
        <v>2566.4699999999998</v>
      </c>
      <c r="H1186">
        <f t="shared" si="37"/>
        <v>3</v>
      </c>
      <c r="I1186" s="6">
        <f t="shared" si="38"/>
        <v>855.4899999999999</v>
      </c>
      <c r="L1186" s="19"/>
      <c r="O1186" s="2"/>
      <c r="P1186" s="3"/>
      <c r="Q1186" s="2"/>
      <c r="R1186" s="2"/>
      <c r="S1186" s="3"/>
      <c r="T1186" s="3"/>
      <c r="U1186" s="4"/>
      <c r="W1186" s="6"/>
    </row>
    <row r="1187" spans="1:23" ht="15" thickBot="1" x14ac:dyDescent="0.35">
      <c r="A1187" s="2">
        <v>20</v>
      </c>
      <c r="B1187" s="3" t="s">
        <v>15</v>
      </c>
      <c r="C1187" s="2">
        <v>33</v>
      </c>
      <c r="D1187" s="2">
        <v>0</v>
      </c>
      <c r="E1187" s="3" t="s">
        <v>16</v>
      </c>
      <c r="F1187" s="3" t="s">
        <v>10</v>
      </c>
      <c r="G1187" s="4">
        <v>1880.07</v>
      </c>
      <c r="H1187">
        <f t="shared" si="37"/>
        <v>1</v>
      </c>
      <c r="I1187" s="6">
        <f t="shared" si="38"/>
        <v>1880.07</v>
      </c>
      <c r="L1187" s="19"/>
      <c r="O1187" s="2"/>
      <c r="P1187" s="3"/>
      <c r="Q1187" s="2"/>
      <c r="R1187" s="2"/>
      <c r="S1187" s="3"/>
      <c r="T1187" s="3"/>
      <c r="U1187" s="4"/>
      <c r="W1187" s="6"/>
    </row>
    <row r="1188" spans="1:23" ht="15" thickBot="1" x14ac:dyDescent="0.35">
      <c r="A1188" s="2">
        <v>20</v>
      </c>
      <c r="B1188" s="3" t="s">
        <v>14</v>
      </c>
      <c r="C1188" s="2">
        <v>32.4</v>
      </c>
      <c r="D1188" s="2">
        <v>1</v>
      </c>
      <c r="E1188" s="3" t="s">
        <v>16</v>
      </c>
      <c r="F1188" s="3" t="s">
        <v>7</v>
      </c>
      <c r="G1188" s="4">
        <v>2362.23</v>
      </c>
      <c r="H1188">
        <f t="shared" si="37"/>
        <v>2</v>
      </c>
      <c r="I1188" s="6">
        <f t="shared" si="38"/>
        <v>1181.115</v>
      </c>
      <c r="L1188" s="19"/>
      <c r="O1188" s="2"/>
      <c r="P1188" s="3"/>
      <c r="Q1188" s="2"/>
      <c r="R1188" s="2"/>
      <c r="S1188" s="3"/>
      <c r="T1188" s="3"/>
      <c r="U1188" s="4"/>
      <c r="W1188" s="6"/>
    </row>
    <row r="1189" spans="1:23" ht="15" thickBot="1" x14ac:dyDescent="0.35">
      <c r="A1189" s="2">
        <v>20</v>
      </c>
      <c r="B1189" s="3" t="s">
        <v>14</v>
      </c>
      <c r="C1189" s="2">
        <v>40.5</v>
      </c>
      <c r="D1189" s="2">
        <v>0</v>
      </c>
      <c r="E1189" s="3" t="s">
        <v>16</v>
      </c>
      <c r="F1189" s="3" t="s">
        <v>9</v>
      </c>
      <c r="G1189" s="4">
        <v>1984.45</v>
      </c>
      <c r="H1189">
        <f t="shared" si="37"/>
        <v>1</v>
      </c>
      <c r="I1189" s="6">
        <f t="shared" si="38"/>
        <v>1984.45</v>
      </c>
      <c r="L1189" s="19"/>
      <c r="O1189" s="2"/>
      <c r="P1189" s="3"/>
      <c r="Q1189" s="2"/>
      <c r="R1189" s="2"/>
      <c r="S1189" s="3"/>
      <c r="T1189" s="3"/>
      <c r="U1189" s="4"/>
      <c r="W1189" s="6"/>
    </row>
    <row r="1190" spans="1:23" ht="15" thickBot="1" x14ac:dyDescent="0.35">
      <c r="A1190" s="2">
        <v>20</v>
      </c>
      <c r="B1190" s="3" t="s">
        <v>15</v>
      </c>
      <c r="C1190" s="2">
        <v>31.5</v>
      </c>
      <c r="D1190" s="2">
        <v>0</v>
      </c>
      <c r="E1190" s="3" t="s">
        <v>16</v>
      </c>
      <c r="F1190" s="3" t="s">
        <v>10</v>
      </c>
      <c r="G1190" s="4">
        <v>1877.93</v>
      </c>
      <c r="H1190">
        <f t="shared" si="37"/>
        <v>1</v>
      </c>
      <c r="I1190" s="6">
        <f t="shared" si="38"/>
        <v>1877.93</v>
      </c>
      <c r="L1190" s="19"/>
      <c r="O1190" s="2"/>
      <c r="P1190" s="3"/>
      <c r="Q1190" s="2"/>
      <c r="R1190" s="2"/>
      <c r="S1190" s="3"/>
      <c r="T1190" s="3"/>
      <c r="U1190" s="4"/>
      <c r="W1190" s="6"/>
    </row>
    <row r="1191" spans="1:23" ht="15" thickBot="1" x14ac:dyDescent="0.35">
      <c r="A1191" s="2">
        <v>20</v>
      </c>
      <c r="B1191" s="3" t="s">
        <v>15</v>
      </c>
      <c r="C1191" s="2">
        <v>29.6</v>
      </c>
      <c r="D1191" s="2">
        <v>0</v>
      </c>
      <c r="E1191" s="3" t="s">
        <v>16</v>
      </c>
      <c r="F1191" s="3" t="s">
        <v>8</v>
      </c>
      <c r="G1191" s="4">
        <v>1875.34</v>
      </c>
      <c r="H1191">
        <f t="shared" si="37"/>
        <v>1</v>
      </c>
      <c r="I1191" s="6">
        <f t="shared" si="38"/>
        <v>1875.34</v>
      </c>
      <c r="L1191" s="19"/>
      <c r="O1191" s="2"/>
      <c r="P1191" s="3"/>
      <c r="Q1191" s="2"/>
      <c r="R1191" s="2"/>
      <c r="S1191" s="3"/>
      <c r="T1191" s="3"/>
      <c r="U1191" s="4"/>
      <c r="W1191" s="6"/>
    </row>
    <row r="1192" spans="1:23" ht="15" thickBot="1" x14ac:dyDescent="0.35">
      <c r="A1192" s="2">
        <v>20</v>
      </c>
      <c r="B1192" s="3" t="s">
        <v>14</v>
      </c>
      <c r="C1192" s="2">
        <v>30.1</v>
      </c>
      <c r="D1192" s="2">
        <v>5</v>
      </c>
      <c r="E1192" s="3" t="s">
        <v>16</v>
      </c>
      <c r="F1192" s="3" t="s">
        <v>9</v>
      </c>
      <c r="G1192" s="4">
        <v>4915.0600000000004</v>
      </c>
      <c r="H1192">
        <f t="shared" si="37"/>
        <v>6</v>
      </c>
      <c r="I1192" s="6">
        <f t="shared" si="38"/>
        <v>819.17666666666673</v>
      </c>
      <c r="L1192" s="19"/>
      <c r="O1192" s="2"/>
      <c r="P1192" s="3"/>
      <c r="Q1192" s="2"/>
      <c r="R1192" s="2"/>
      <c r="S1192" s="3"/>
      <c r="T1192" s="3"/>
      <c r="U1192" s="4"/>
      <c r="W1192" s="6"/>
    </row>
    <row r="1193" spans="1:23" ht="15" thickBot="1" x14ac:dyDescent="0.35">
      <c r="A1193" s="2">
        <v>20</v>
      </c>
      <c r="B1193" s="3" t="s">
        <v>14</v>
      </c>
      <c r="C1193" s="2">
        <v>30.7</v>
      </c>
      <c r="D1193" s="2">
        <v>0</v>
      </c>
      <c r="E1193" s="3" t="s">
        <v>17</v>
      </c>
      <c r="F1193" s="3" t="s">
        <v>9</v>
      </c>
      <c r="G1193" s="4">
        <v>33475.82</v>
      </c>
      <c r="H1193">
        <f t="shared" si="37"/>
        <v>1</v>
      </c>
      <c r="I1193" s="6">
        <f t="shared" si="38"/>
        <v>33475.82</v>
      </c>
      <c r="L1193" s="19"/>
      <c r="O1193" s="2"/>
      <c r="P1193" s="3"/>
      <c r="Q1193" s="2"/>
      <c r="R1193" s="2"/>
      <c r="S1193" s="3"/>
      <c r="T1193" s="3"/>
      <c r="U1193" s="4"/>
      <c r="W1193" s="6"/>
    </row>
    <row r="1194" spans="1:23" ht="15" thickBot="1" x14ac:dyDescent="0.35">
      <c r="A1194" s="2">
        <v>20</v>
      </c>
      <c r="B1194" s="3" t="s">
        <v>15</v>
      </c>
      <c r="C1194" s="2">
        <v>31.9</v>
      </c>
      <c r="D1194" s="2">
        <v>0</v>
      </c>
      <c r="E1194" s="3" t="s">
        <v>16</v>
      </c>
      <c r="F1194" s="3" t="s">
        <v>7</v>
      </c>
      <c r="G1194" s="4">
        <v>2261.5700000000002</v>
      </c>
      <c r="H1194">
        <f t="shared" si="37"/>
        <v>1</v>
      </c>
      <c r="I1194" s="6">
        <f t="shared" si="38"/>
        <v>2261.5700000000002</v>
      </c>
      <c r="L1194" s="19"/>
      <c r="O1194" s="2"/>
      <c r="P1194" s="3"/>
      <c r="Q1194" s="2"/>
      <c r="R1194" s="2"/>
      <c r="S1194" s="3"/>
      <c r="T1194" s="3"/>
      <c r="U1194" s="4"/>
      <c r="W1194" s="6"/>
    </row>
    <row r="1195" spans="1:23" ht="15" thickBot="1" x14ac:dyDescent="0.35">
      <c r="A1195" s="2">
        <v>20</v>
      </c>
      <c r="B1195" s="3" t="s">
        <v>15</v>
      </c>
      <c r="C1195" s="2">
        <v>30.6</v>
      </c>
      <c r="D1195" s="2">
        <v>0</v>
      </c>
      <c r="E1195" s="3" t="s">
        <v>16</v>
      </c>
      <c r="F1195" s="3" t="s">
        <v>9</v>
      </c>
      <c r="G1195" s="4">
        <v>2459.7199999999998</v>
      </c>
      <c r="H1195">
        <f t="shared" si="37"/>
        <v>1</v>
      </c>
      <c r="I1195" s="6">
        <f t="shared" si="38"/>
        <v>2459.7199999999998</v>
      </c>
      <c r="L1195" s="19"/>
      <c r="O1195" s="2"/>
      <c r="P1195" s="3"/>
      <c r="Q1195" s="2"/>
      <c r="R1195" s="2"/>
      <c r="S1195" s="3"/>
      <c r="T1195" s="3"/>
      <c r="U1195" s="4"/>
      <c r="W1195" s="6"/>
    </row>
    <row r="1196" spans="1:23" ht="15" thickBot="1" x14ac:dyDescent="0.35">
      <c r="A1196" s="2">
        <v>20</v>
      </c>
      <c r="B1196" s="3" t="s">
        <v>14</v>
      </c>
      <c r="C1196" s="2">
        <v>35.6</v>
      </c>
      <c r="D1196" s="2">
        <v>3</v>
      </c>
      <c r="E1196" s="3" t="s">
        <v>17</v>
      </c>
      <c r="F1196" s="3" t="s">
        <v>7</v>
      </c>
      <c r="G1196" s="4">
        <v>37465.339999999997</v>
      </c>
      <c r="H1196">
        <f t="shared" si="37"/>
        <v>4</v>
      </c>
      <c r="I1196" s="6">
        <f t="shared" si="38"/>
        <v>9366.3349999999991</v>
      </c>
      <c r="L1196" s="19"/>
      <c r="O1196" s="2"/>
      <c r="P1196" s="3"/>
      <c r="Q1196" s="2"/>
      <c r="R1196" s="2"/>
      <c r="S1196" s="3"/>
      <c r="T1196" s="3"/>
      <c r="U1196" s="4"/>
      <c r="W1196" s="6"/>
    </row>
    <row r="1197" spans="1:23" ht="15" thickBot="1" x14ac:dyDescent="0.35">
      <c r="A1197" s="2">
        <v>20</v>
      </c>
      <c r="B1197" s="3" t="s">
        <v>15</v>
      </c>
      <c r="C1197" s="2">
        <v>24.4</v>
      </c>
      <c r="D1197" s="2">
        <v>0</v>
      </c>
      <c r="E1197" s="3" t="s">
        <v>17</v>
      </c>
      <c r="F1197" s="3" t="s">
        <v>10</v>
      </c>
      <c r="G1197" s="4">
        <v>26125.67</v>
      </c>
      <c r="H1197">
        <f t="shared" si="37"/>
        <v>1</v>
      </c>
      <c r="I1197" s="6">
        <f t="shared" si="38"/>
        <v>26125.67</v>
      </c>
      <c r="L1197" s="19"/>
      <c r="O1197" s="2"/>
      <c r="P1197" s="3"/>
      <c r="Q1197" s="2"/>
      <c r="R1197" s="2"/>
      <c r="S1197" s="3"/>
      <c r="T1197" s="3"/>
      <c r="U1197" s="4"/>
      <c r="W1197" s="6"/>
    </row>
    <row r="1198" spans="1:23" ht="15" thickBot="1" x14ac:dyDescent="0.35">
      <c r="A1198" s="2">
        <v>20</v>
      </c>
      <c r="B1198" s="3" t="s">
        <v>15</v>
      </c>
      <c r="C1198" s="2">
        <v>21.8</v>
      </c>
      <c r="D1198" s="2">
        <v>0</v>
      </c>
      <c r="E1198" s="3" t="s">
        <v>17</v>
      </c>
      <c r="F1198" s="3" t="s">
        <v>8</v>
      </c>
      <c r="G1198" s="4">
        <v>20167.34</v>
      </c>
      <c r="H1198">
        <f t="shared" si="37"/>
        <v>1</v>
      </c>
      <c r="I1198" s="6">
        <f t="shared" si="38"/>
        <v>20167.34</v>
      </c>
      <c r="L1198" s="19"/>
      <c r="O1198" s="2"/>
      <c r="P1198" s="3"/>
      <c r="Q1198" s="2"/>
      <c r="R1198" s="2"/>
      <c r="S1198" s="3"/>
      <c r="T1198" s="3"/>
      <c r="U1198" s="4"/>
      <c r="W1198" s="6"/>
    </row>
    <row r="1199" spans="1:23" ht="15" thickBot="1" x14ac:dyDescent="0.35">
      <c r="A1199" s="2">
        <v>20</v>
      </c>
      <c r="B1199" s="3" t="s">
        <v>14</v>
      </c>
      <c r="C1199" s="2">
        <v>27.3</v>
      </c>
      <c r="D1199" s="2">
        <v>0</v>
      </c>
      <c r="E1199" s="3" t="s">
        <v>17</v>
      </c>
      <c r="F1199" s="3" t="s">
        <v>8</v>
      </c>
      <c r="G1199" s="4">
        <v>16232.85</v>
      </c>
      <c r="H1199">
        <f t="shared" si="37"/>
        <v>1</v>
      </c>
      <c r="I1199" s="6">
        <f t="shared" si="38"/>
        <v>16232.85</v>
      </c>
      <c r="L1199" s="19"/>
      <c r="O1199" s="2"/>
      <c r="P1199" s="3"/>
      <c r="Q1199" s="2"/>
      <c r="R1199" s="2"/>
      <c r="S1199" s="3"/>
      <c r="T1199" s="3"/>
      <c r="U1199" s="4"/>
      <c r="W1199" s="6"/>
    </row>
    <row r="1200" spans="1:23" ht="15" thickBot="1" x14ac:dyDescent="0.35">
      <c r="A1200" s="2">
        <v>20</v>
      </c>
      <c r="B1200" s="3" t="s">
        <v>15</v>
      </c>
      <c r="C1200" s="2">
        <v>33.299999999999997</v>
      </c>
      <c r="D1200" s="2">
        <v>0</v>
      </c>
      <c r="E1200" s="3" t="s">
        <v>16</v>
      </c>
      <c r="F1200" s="3" t="s">
        <v>8</v>
      </c>
      <c r="G1200" s="4">
        <v>1880.49</v>
      </c>
      <c r="H1200">
        <f t="shared" si="37"/>
        <v>1</v>
      </c>
      <c r="I1200" s="6">
        <f t="shared" si="38"/>
        <v>1880.49</v>
      </c>
      <c r="L1200" s="19"/>
      <c r="O1200" s="2"/>
      <c r="P1200" s="3"/>
      <c r="Q1200" s="2"/>
      <c r="R1200" s="2"/>
      <c r="S1200" s="3"/>
      <c r="T1200" s="3"/>
      <c r="U1200" s="4"/>
      <c r="W1200" s="6"/>
    </row>
    <row r="1201" spans="1:23" ht="15" thickBot="1" x14ac:dyDescent="0.35">
      <c r="A1201" s="2">
        <v>20</v>
      </c>
      <c r="B1201" s="3" t="s">
        <v>14</v>
      </c>
      <c r="C1201" s="2">
        <v>39.4</v>
      </c>
      <c r="D1201" s="2">
        <v>2</v>
      </c>
      <c r="E1201" s="3" t="s">
        <v>17</v>
      </c>
      <c r="F1201" s="3" t="s">
        <v>8</v>
      </c>
      <c r="G1201" s="4">
        <v>38344.57</v>
      </c>
      <c r="H1201">
        <f t="shared" si="37"/>
        <v>3</v>
      </c>
      <c r="I1201" s="6">
        <f t="shared" si="38"/>
        <v>12781.523333333333</v>
      </c>
      <c r="L1201" s="19"/>
      <c r="O1201" s="2"/>
      <c r="P1201" s="3"/>
      <c r="Q1201" s="2"/>
      <c r="R1201" s="2"/>
      <c r="S1201" s="3"/>
      <c r="T1201" s="3"/>
      <c r="U1201" s="4"/>
      <c r="W1201" s="6"/>
    </row>
    <row r="1202" spans="1:23" ht="15" thickBot="1" x14ac:dyDescent="0.35">
      <c r="A1202" s="2">
        <v>20</v>
      </c>
      <c r="B1202" s="3" t="s">
        <v>14</v>
      </c>
      <c r="C1202" s="2">
        <v>22</v>
      </c>
      <c r="D1202" s="2">
        <v>1</v>
      </c>
      <c r="E1202" s="3" t="s">
        <v>16</v>
      </c>
      <c r="F1202" s="3" t="s">
        <v>8</v>
      </c>
      <c r="G1202" s="4">
        <v>1964.78</v>
      </c>
      <c r="H1202">
        <f t="shared" si="37"/>
        <v>2</v>
      </c>
      <c r="I1202" s="6">
        <f t="shared" si="38"/>
        <v>982.39</v>
      </c>
      <c r="L1202" s="19"/>
      <c r="O1202" s="2"/>
      <c r="P1202" s="3"/>
      <c r="Q1202" s="2"/>
      <c r="R1202" s="2"/>
      <c r="S1202" s="3"/>
      <c r="T1202" s="3"/>
      <c r="U1202" s="4"/>
      <c r="W1202" s="6"/>
    </row>
    <row r="1203" spans="1:23" ht="15" thickBot="1" x14ac:dyDescent="0.35">
      <c r="A1203" s="2">
        <v>19</v>
      </c>
      <c r="B1203" s="3" t="s">
        <v>15</v>
      </c>
      <c r="C1203" s="2">
        <v>27.9</v>
      </c>
      <c r="D1203" s="2">
        <v>0</v>
      </c>
      <c r="E1203" s="3" t="s">
        <v>17</v>
      </c>
      <c r="F1203" s="3" t="s">
        <v>8</v>
      </c>
      <c r="G1203" s="4">
        <v>16884.919999999998</v>
      </c>
      <c r="H1203">
        <f t="shared" si="37"/>
        <v>1</v>
      </c>
      <c r="I1203" s="6">
        <f t="shared" si="38"/>
        <v>16884.919999999998</v>
      </c>
      <c r="L1203" s="19"/>
      <c r="O1203" s="2"/>
      <c r="P1203" s="3"/>
      <c r="Q1203" s="2"/>
      <c r="R1203" s="2"/>
      <c r="S1203" s="3"/>
      <c r="T1203" s="3"/>
      <c r="U1203" s="4"/>
      <c r="W1203" s="6"/>
    </row>
    <row r="1204" spans="1:23" ht="15" thickBot="1" x14ac:dyDescent="0.35">
      <c r="A1204" s="2">
        <v>19</v>
      </c>
      <c r="B1204" s="3" t="s">
        <v>14</v>
      </c>
      <c r="C1204" s="2">
        <v>24.6</v>
      </c>
      <c r="D1204" s="2">
        <v>1</v>
      </c>
      <c r="E1204" s="3" t="s">
        <v>16</v>
      </c>
      <c r="F1204" s="3" t="s">
        <v>8</v>
      </c>
      <c r="G1204" s="4">
        <v>1837.24</v>
      </c>
      <c r="H1204">
        <f t="shared" si="37"/>
        <v>2</v>
      </c>
      <c r="I1204" s="6">
        <f t="shared" si="38"/>
        <v>918.62</v>
      </c>
      <c r="L1204" s="19"/>
      <c r="O1204" s="2"/>
      <c r="P1204" s="3"/>
      <c r="Q1204" s="2"/>
      <c r="R1204" s="2"/>
      <c r="S1204" s="3"/>
      <c r="T1204" s="3"/>
      <c r="U1204" s="4"/>
      <c r="W1204" s="6"/>
    </row>
    <row r="1205" spans="1:23" ht="15" thickBot="1" x14ac:dyDescent="0.35">
      <c r="A1205" s="2">
        <v>19</v>
      </c>
      <c r="B1205" s="3" t="s">
        <v>15</v>
      </c>
      <c r="C1205" s="2">
        <v>28.6</v>
      </c>
      <c r="D1205" s="2">
        <v>5</v>
      </c>
      <c r="E1205" s="3" t="s">
        <v>16</v>
      </c>
      <c r="F1205" s="3" t="s">
        <v>8</v>
      </c>
      <c r="G1205" s="4">
        <v>4687.8</v>
      </c>
      <c r="H1205">
        <f t="shared" si="37"/>
        <v>6</v>
      </c>
      <c r="I1205" s="6">
        <f t="shared" si="38"/>
        <v>781.30000000000007</v>
      </c>
      <c r="L1205" s="19"/>
      <c r="O1205" s="2"/>
      <c r="P1205" s="3"/>
      <c r="Q1205" s="2"/>
      <c r="R1205" s="2"/>
      <c r="S1205" s="3"/>
      <c r="T1205" s="3"/>
      <c r="U1205" s="4"/>
      <c r="W1205" s="6"/>
    </row>
    <row r="1206" spans="1:23" ht="15" thickBot="1" x14ac:dyDescent="0.35">
      <c r="A1206" s="2">
        <v>19</v>
      </c>
      <c r="B1206" s="3" t="s">
        <v>14</v>
      </c>
      <c r="C1206" s="2">
        <v>20.399999999999999</v>
      </c>
      <c r="D1206" s="2">
        <v>0</v>
      </c>
      <c r="E1206" s="3" t="s">
        <v>16</v>
      </c>
      <c r="F1206" s="3" t="s">
        <v>7</v>
      </c>
      <c r="G1206" s="4">
        <v>1625.43</v>
      </c>
      <c r="H1206">
        <f t="shared" si="37"/>
        <v>1</v>
      </c>
      <c r="I1206" s="6">
        <f t="shared" si="38"/>
        <v>1625.43</v>
      </c>
      <c r="L1206" s="19"/>
      <c r="O1206" s="2"/>
      <c r="P1206" s="3"/>
      <c r="Q1206" s="2"/>
      <c r="R1206" s="2"/>
      <c r="S1206" s="3"/>
      <c r="T1206" s="3"/>
      <c r="U1206" s="4"/>
      <c r="W1206" s="6"/>
    </row>
    <row r="1207" spans="1:23" ht="15" thickBot="1" x14ac:dyDescent="0.35">
      <c r="A1207" s="2">
        <v>19</v>
      </c>
      <c r="B1207" s="3" t="s">
        <v>15</v>
      </c>
      <c r="C1207" s="2">
        <v>28.9</v>
      </c>
      <c r="D1207" s="2">
        <v>0</v>
      </c>
      <c r="E1207" s="3" t="s">
        <v>16</v>
      </c>
      <c r="F1207" s="3" t="s">
        <v>8</v>
      </c>
      <c r="G1207" s="4">
        <v>1743.21</v>
      </c>
      <c r="H1207">
        <f t="shared" si="37"/>
        <v>1</v>
      </c>
      <c r="I1207" s="6">
        <f t="shared" si="38"/>
        <v>1743.21</v>
      </c>
      <c r="L1207" s="19"/>
      <c r="O1207" s="2"/>
      <c r="P1207" s="3"/>
      <c r="Q1207" s="2"/>
      <c r="R1207" s="2"/>
      <c r="S1207" s="3"/>
      <c r="T1207" s="3"/>
      <c r="U1207" s="4"/>
      <c r="W1207" s="6"/>
    </row>
    <row r="1208" spans="1:23" ht="15" thickBot="1" x14ac:dyDescent="0.35">
      <c r="A1208" s="2">
        <v>19</v>
      </c>
      <c r="B1208" s="3" t="s">
        <v>15</v>
      </c>
      <c r="C1208" s="2">
        <v>28.4</v>
      </c>
      <c r="D1208" s="2">
        <v>1</v>
      </c>
      <c r="E1208" s="3" t="s">
        <v>16</v>
      </c>
      <c r="F1208" s="3" t="s">
        <v>8</v>
      </c>
      <c r="G1208" s="4">
        <v>2331.52</v>
      </c>
      <c r="H1208">
        <f t="shared" si="37"/>
        <v>2</v>
      </c>
      <c r="I1208" s="6">
        <f t="shared" si="38"/>
        <v>1165.76</v>
      </c>
      <c r="L1208" s="19"/>
      <c r="O1208" s="2"/>
      <c r="P1208" s="3"/>
      <c r="Q1208" s="2"/>
      <c r="R1208" s="2"/>
      <c r="S1208" s="3"/>
      <c r="T1208" s="3"/>
      <c r="U1208" s="4"/>
      <c r="W1208" s="6"/>
    </row>
    <row r="1209" spans="1:23" ht="15" thickBot="1" x14ac:dyDescent="0.35">
      <c r="A1209" s="2">
        <v>19</v>
      </c>
      <c r="B1209" s="3" t="s">
        <v>15</v>
      </c>
      <c r="C1209" s="2">
        <v>28.3</v>
      </c>
      <c r="D1209" s="2">
        <v>0</v>
      </c>
      <c r="E1209" s="3" t="s">
        <v>17</v>
      </c>
      <c r="F1209" s="3" t="s">
        <v>8</v>
      </c>
      <c r="G1209" s="4">
        <v>17081.080000000002</v>
      </c>
      <c r="H1209">
        <f t="shared" si="37"/>
        <v>1</v>
      </c>
      <c r="I1209" s="6">
        <f t="shared" si="38"/>
        <v>17081.080000000002</v>
      </c>
      <c r="L1209" s="19"/>
      <c r="O1209" s="2"/>
      <c r="P1209" s="3"/>
      <c r="Q1209" s="2"/>
      <c r="R1209" s="2"/>
      <c r="S1209" s="3"/>
      <c r="T1209" s="3"/>
      <c r="U1209" s="4"/>
      <c r="W1209" s="6"/>
    </row>
    <row r="1210" spans="1:23" ht="15" thickBot="1" x14ac:dyDescent="0.35">
      <c r="A1210" s="2">
        <v>19</v>
      </c>
      <c r="B1210" s="3" t="s">
        <v>14</v>
      </c>
      <c r="C1210" s="2">
        <v>25.6</v>
      </c>
      <c r="D1210" s="2">
        <v>0</v>
      </c>
      <c r="E1210" s="3" t="s">
        <v>16</v>
      </c>
      <c r="F1210" s="3" t="s">
        <v>7</v>
      </c>
      <c r="G1210" s="4">
        <v>1632.56</v>
      </c>
      <c r="H1210">
        <f t="shared" si="37"/>
        <v>1</v>
      </c>
      <c r="I1210" s="6">
        <f t="shared" si="38"/>
        <v>1632.56</v>
      </c>
      <c r="L1210" s="19"/>
      <c r="O1210" s="2"/>
      <c r="P1210" s="3"/>
      <c r="Q1210" s="2"/>
      <c r="R1210" s="2"/>
      <c r="S1210" s="3"/>
      <c r="T1210" s="3"/>
      <c r="U1210" s="4"/>
      <c r="W1210" s="6"/>
    </row>
    <row r="1211" spans="1:23" ht="15" thickBot="1" x14ac:dyDescent="0.35">
      <c r="A1211" s="2">
        <v>19</v>
      </c>
      <c r="B1211" s="3" t="s">
        <v>14</v>
      </c>
      <c r="C1211" s="2">
        <v>34.1</v>
      </c>
      <c r="D1211" s="2">
        <v>0</v>
      </c>
      <c r="E1211" s="3" t="s">
        <v>16</v>
      </c>
      <c r="F1211" s="3" t="s">
        <v>8</v>
      </c>
      <c r="G1211" s="4">
        <v>1261.44</v>
      </c>
      <c r="H1211">
        <f t="shared" si="37"/>
        <v>1</v>
      </c>
      <c r="I1211" s="6">
        <f t="shared" si="38"/>
        <v>1261.44</v>
      </c>
      <c r="L1211" s="19"/>
      <c r="O1211" s="2"/>
      <c r="P1211" s="3"/>
      <c r="Q1211" s="2"/>
      <c r="R1211" s="2"/>
      <c r="S1211" s="3"/>
      <c r="T1211" s="3"/>
      <c r="U1211" s="4"/>
      <c r="W1211" s="6"/>
    </row>
    <row r="1212" spans="1:23" ht="15" thickBot="1" x14ac:dyDescent="0.35">
      <c r="A1212" s="2">
        <v>19</v>
      </c>
      <c r="B1212" s="3" t="s">
        <v>14</v>
      </c>
      <c r="C1212" s="2">
        <v>28.4</v>
      </c>
      <c r="D1212" s="2">
        <v>1</v>
      </c>
      <c r="E1212" s="3" t="s">
        <v>16</v>
      </c>
      <c r="F1212" s="3" t="s">
        <v>8</v>
      </c>
      <c r="G1212" s="4">
        <v>1842.52</v>
      </c>
      <c r="H1212">
        <f t="shared" si="37"/>
        <v>2</v>
      </c>
      <c r="I1212" s="6">
        <f t="shared" si="38"/>
        <v>921.26</v>
      </c>
      <c r="L1212" s="19"/>
      <c r="O1212" s="2"/>
      <c r="P1212" s="3"/>
      <c r="Q1212" s="2"/>
      <c r="R1212" s="2"/>
      <c r="S1212" s="3"/>
      <c r="T1212" s="3"/>
      <c r="U1212" s="4"/>
      <c r="W1212" s="6"/>
    </row>
    <row r="1213" spans="1:23" ht="15" thickBot="1" x14ac:dyDescent="0.35">
      <c r="A1213" s="2">
        <v>19</v>
      </c>
      <c r="B1213" s="3" t="s">
        <v>15</v>
      </c>
      <c r="C1213" s="2">
        <v>31.8</v>
      </c>
      <c r="D1213" s="2">
        <v>1</v>
      </c>
      <c r="E1213" s="3" t="s">
        <v>16</v>
      </c>
      <c r="F1213" s="3" t="s">
        <v>7</v>
      </c>
      <c r="G1213" s="4">
        <v>2719.28</v>
      </c>
      <c r="H1213">
        <f t="shared" si="37"/>
        <v>2</v>
      </c>
      <c r="I1213" s="6">
        <f t="shared" si="38"/>
        <v>1359.64</v>
      </c>
      <c r="L1213" s="19"/>
      <c r="O1213" s="2"/>
      <c r="P1213" s="3"/>
      <c r="Q1213" s="2"/>
      <c r="R1213" s="2"/>
      <c r="S1213" s="3"/>
      <c r="T1213" s="3"/>
      <c r="U1213" s="4"/>
      <c r="W1213" s="6"/>
    </row>
    <row r="1214" spans="1:23" ht="15" thickBot="1" x14ac:dyDescent="0.35">
      <c r="A1214" s="2">
        <v>19</v>
      </c>
      <c r="B1214" s="3" t="s">
        <v>14</v>
      </c>
      <c r="C1214" s="2">
        <v>30.6</v>
      </c>
      <c r="D1214" s="2">
        <v>0</v>
      </c>
      <c r="E1214" s="3" t="s">
        <v>16</v>
      </c>
      <c r="F1214" s="3" t="s">
        <v>7</v>
      </c>
      <c r="G1214" s="4">
        <v>1639.56</v>
      </c>
      <c r="H1214">
        <f t="shared" si="37"/>
        <v>1</v>
      </c>
      <c r="I1214" s="6">
        <f t="shared" si="38"/>
        <v>1639.56</v>
      </c>
      <c r="L1214" s="19"/>
      <c r="O1214" s="2"/>
      <c r="P1214" s="3"/>
      <c r="Q1214" s="2"/>
      <c r="R1214" s="2"/>
      <c r="S1214" s="3"/>
      <c r="T1214" s="3"/>
      <c r="U1214" s="4"/>
      <c r="W1214" s="6"/>
    </row>
    <row r="1215" spans="1:23" ht="15" thickBot="1" x14ac:dyDescent="0.35">
      <c r="A1215" s="2">
        <v>19</v>
      </c>
      <c r="B1215" s="3" t="s">
        <v>15</v>
      </c>
      <c r="C1215" s="2">
        <v>32.1</v>
      </c>
      <c r="D1215" s="2">
        <v>0</v>
      </c>
      <c r="E1215" s="3" t="s">
        <v>16</v>
      </c>
      <c r="F1215" s="3" t="s">
        <v>7</v>
      </c>
      <c r="G1215" s="4">
        <v>2130.6799999999998</v>
      </c>
      <c r="H1215">
        <f t="shared" si="37"/>
        <v>1</v>
      </c>
      <c r="I1215" s="6">
        <f t="shared" si="38"/>
        <v>2130.6799999999998</v>
      </c>
      <c r="L1215" s="19"/>
      <c r="O1215" s="2"/>
      <c r="P1215" s="3"/>
      <c r="Q1215" s="2"/>
      <c r="R1215" s="2"/>
      <c r="S1215" s="3"/>
      <c r="T1215" s="3"/>
      <c r="U1215" s="4"/>
      <c r="W1215" s="6"/>
    </row>
    <row r="1216" spans="1:23" ht="15" thickBot="1" x14ac:dyDescent="0.35">
      <c r="A1216" s="2">
        <v>19</v>
      </c>
      <c r="B1216" s="3" t="s">
        <v>14</v>
      </c>
      <c r="C1216" s="2">
        <v>34.799999999999997</v>
      </c>
      <c r="D1216" s="2">
        <v>0</v>
      </c>
      <c r="E1216" s="3" t="s">
        <v>17</v>
      </c>
      <c r="F1216" s="3" t="s">
        <v>8</v>
      </c>
      <c r="G1216" s="4">
        <v>34779.620000000003</v>
      </c>
      <c r="H1216">
        <f t="shared" si="37"/>
        <v>1</v>
      </c>
      <c r="I1216" s="6">
        <f t="shared" si="38"/>
        <v>34779.620000000003</v>
      </c>
      <c r="L1216" s="19"/>
      <c r="O1216" s="2"/>
      <c r="P1216" s="3"/>
      <c r="Q1216" s="2"/>
      <c r="R1216" s="2"/>
      <c r="S1216" s="3"/>
      <c r="T1216" s="3"/>
      <c r="U1216" s="4"/>
      <c r="W1216" s="6"/>
    </row>
    <row r="1217" spans="1:23" ht="15" thickBot="1" x14ac:dyDescent="0.35">
      <c r="A1217" s="2">
        <v>19</v>
      </c>
      <c r="B1217" s="3" t="s">
        <v>15</v>
      </c>
      <c r="C1217" s="2">
        <v>17.8</v>
      </c>
      <c r="D1217" s="2">
        <v>0</v>
      </c>
      <c r="E1217" s="3" t="s">
        <v>16</v>
      </c>
      <c r="F1217" s="3" t="s">
        <v>8</v>
      </c>
      <c r="G1217" s="4">
        <v>1727.79</v>
      </c>
      <c r="H1217">
        <f t="shared" si="37"/>
        <v>1</v>
      </c>
      <c r="I1217" s="6">
        <f t="shared" si="38"/>
        <v>1727.79</v>
      </c>
      <c r="L1217" s="19"/>
      <c r="O1217" s="2"/>
      <c r="P1217" s="3"/>
      <c r="Q1217" s="2"/>
      <c r="R1217" s="2"/>
      <c r="S1217" s="3"/>
      <c r="T1217" s="3"/>
      <c r="U1217" s="4"/>
      <c r="W1217" s="6"/>
    </row>
    <row r="1218" spans="1:23" ht="15" thickBot="1" x14ac:dyDescent="0.35">
      <c r="A1218" s="2">
        <v>19</v>
      </c>
      <c r="B1218" s="3" t="s">
        <v>14</v>
      </c>
      <c r="C1218" s="2">
        <v>29.1</v>
      </c>
      <c r="D1218" s="2">
        <v>0</v>
      </c>
      <c r="E1218" s="3" t="s">
        <v>17</v>
      </c>
      <c r="F1218" s="3" t="s">
        <v>7</v>
      </c>
      <c r="G1218" s="4">
        <v>17352.68</v>
      </c>
      <c r="H1218">
        <f t="shared" si="37"/>
        <v>1</v>
      </c>
      <c r="I1218" s="6">
        <f t="shared" si="38"/>
        <v>17352.68</v>
      </c>
      <c r="L1218" s="19"/>
      <c r="O1218" s="2"/>
      <c r="P1218" s="3"/>
      <c r="Q1218" s="2"/>
      <c r="R1218" s="2"/>
      <c r="S1218" s="3"/>
      <c r="T1218" s="3"/>
      <c r="U1218" s="4"/>
      <c r="W1218" s="6"/>
    </row>
    <row r="1219" spans="1:23" ht="15" thickBot="1" x14ac:dyDescent="0.35">
      <c r="A1219" s="2">
        <v>19</v>
      </c>
      <c r="B1219" s="3" t="s">
        <v>14</v>
      </c>
      <c r="C1219" s="2">
        <v>20.9</v>
      </c>
      <c r="D1219" s="2">
        <v>1</v>
      </c>
      <c r="E1219" s="3" t="s">
        <v>16</v>
      </c>
      <c r="F1219" s="3" t="s">
        <v>8</v>
      </c>
      <c r="G1219" s="4">
        <v>1832.09</v>
      </c>
      <c r="H1219">
        <f t="shared" ref="H1219:H1282" si="39">D1219+1</f>
        <v>2</v>
      </c>
      <c r="I1219" s="6">
        <f t="shared" ref="I1219:I1282" si="40">G1219/H1219</f>
        <v>916.04499999999996</v>
      </c>
      <c r="L1219" s="19"/>
      <c r="O1219" s="2"/>
      <c r="P1219" s="3"/>
      <c r="Q1219" s="2"/>
      <c r="R1219" s="2"/>
      <c r="S1219" s="3"/>
      <c r="T1219" s="3"/>
      <c r="U1219" s="4"/>
      <c r="W1219" s="6"/>
    </row>
    <row r="1220" spans="1:23" ht="15" thickBot="1" x14ac:dyDescent="0.35">
      <c r="A1220" s="2">
        <v>19</v>
      </c>
      <c r="B1220" s="3" t="s">
        <v>14</v>
      </c>
      <c r="C1220" s="2">
        <v>31.9</v>
      </c>
      <c r="D1220" s="2">
        <v>0</v>
      </c>
      <c r="E1220" s="3" t="s">
        <v>17</v>
      </c>
      <c r="F1220" s="3" t="s">
        <v>7</v>
      </c>
      <c r="G1220" s="4">
        <v>33750.29</v>
      </c>
      <c r="H1220">
        <f t="shared" si="39"/>
        <v>1</v>
      </c>
      <c r="I1220" s="6">
        <f t="shared" si="40"/>
        <v>33750.29</v>
      </c>
      <c r="L1220" s="19"/>
      <c r="O1220" s="2"/>
      <c r="P1220" s="3"/>
      <c r="Q1220" s="2"/>
      <c r="R1220" s="2"/>
      <c r="S1220" s="3"/>
      <c r="T1220" s="3"/>
      <c r="U1220" s="4"/>
      <c r="W1220" s="6"/>
    </row>
    <row r="1221" spans="1:23" ht="15" thickBot="1" x14ac:dyDescent="0.35">
      <c r="A1221" s="2">
        <v>19</v>
      </c>
      <c r="B1221" s="3" t="s">
        <v>14</v>
      </c>
      <c r="C1221" s="2">
        <v>37</v>
      </c>
      <c r="D1221" s="2">
        <v>0</v>
      </c>
      <c r="E1221" s="3" t="s">
        <v>17</v>
      </c>
      <c r="F1221" s="3" t="s">
        <v>7</v>
      </c>
      <c r="G1221" s="4">
        <v>36219.410000000003</v>
      </c>
      <c r="H1221">
        <f t="shared" si="39"/>
        <v>1</v>
      </c>
      <c r="I1221" s="6">
        <f t="shared" si="40"/>
        <v>36219.410000000003</v>
      </c>
      <c r="L1221" s="19"/>
      <c r="O1221" s="2"/>
      <c r="P1221" s="3"/>
      <c r="Q1221" s="2"/>
      <c r="R1221" s="2"/>
      <c r="S1221" s="3"/>
      <c r="T1221" s="3"/>
      <c r="U1221" s="4"/>
      <c r="W1221" s="6"/>
    </row>
    <row r="1222" spans="1:23" ht="15" thickBot="1" x14ac:dyDescent="0.35">
      <c r="A1222" s="2">
        <v>19</v>
      </c>
      <c r="B1222" s="3" t="s">
        <v>14</v>
      </c>
      <c r="C1222" s="2">
        <v>20.6</v>
      </c>
      <c r="D1222" s="2">
        <v>2</v>
      </c>
      <c r="E1222" s="3" t="s">
        <v>16</v>
      </c>
      <c r="F1222" s="3" t="s">
        <v>7</v>
      </c>
      <c r="G1222" s="4">
        <v>2803.7</v>
      </c>
      <c r="H1222">
        <f t="shared" si="39"/>
        <v>3</v>
      </c>
      <c r="I1222" s="6">
        <f t="shared" si="40"/>
        <v>934.56666666666661</v>
      </c>
      <c r="L1222" s="19"/>
      <c r="O1222" s="2"/>
      <c r="P1222" s="3"/>
      <c r="Q1222" s="2"/>
      <c r="R1222" s="2"/>
      <c r="S1222" s="3"/>
      <c r="T1222" s="3"/>
      <c r="U1222" s="4"/>
      <c r="W1222" s="6"/>
    </row>
    <row r="1223" spans="1:23" ht="15" thickBot="1" x14ac:dyDescent="0.35">
      <c r="A1223" s="2">
        <v>19</v>
      </c>
      <c r="B1223" s="3" t="s">
        <v>14</v>
      </c>
      <c r="C1223" s="2">
        <v>27.7</v>
      </c>
      <c r="D1223" s="2">
        <v>0</v>
      </c>
      <c r="E1223" s="3" t="s">
        <v>17</v>
      </c>
      <c r="F1223" s="3" t="s">
        <v>8</v>
      </c>
      <c r="G1223" s="4">
        <v>16297.85</v>
      </c>
      <c r="H1223">
        <f t="shared" si="39"/>
        <v>1</v>
      </c>
      <c r="I1223" s="6">
        <f t="shared" si="40"/>
        <v>16297.85</v>
      </c>
      <c r="L1223" s="19"/>
      <c r="O1223" s="2"/>
      <c r="P1223" s="3"/>
      <c r="Q1223" s="2"/>
      <c r="R1223" s="2"/>
      <c r="S1223" s="3"/>
      <c r="T1223" s="3"/>
      <c r="U1223" s="4"/>
      <c r="W1223" s="6"/>
    </row>
    <row r="1224" spans="1:23" ht="15" thickBot="1" x14ac:dyDescent="0.35">
      <c r="A1224" s="2">
        <v>19</v>
      </c>
      <c r="B1224" s="3" t="s">
        <v>15</v>
      </c>
      <c r="C1224" s="2">
        <v>24.7</v>
      </c>
      <c r="D1224" s="2">
        <v>0</v>
      </c>
      <c r="E1224" s="3" t="s">
        <v>16</v>
      </c>
      <c r="F1224" s="3" t="s">
        <v>8</v>
      </c>
      <c r="G1224" s="4">
        <v>1737.38</v>
      </c>
      <c r="H1224">
        <f t="shared" si="39"/>
        <v>1</v>
      </c>
      <c r="I1224" s="6">
        <f t="shared" si="40"/>
        <v>1737.38</v>
      </c>
      <c r="L1224" s="19"/>
      <c r="O1224" s="2"/>
      <c r="P1224" s="3"/>
      <c r="Q1224" s="2"/>
      <c r="R1224" s="2"/>
      <c r="S1224" s="3"/>
      <c r="T1224" s="3"/>
      <c r="U1224" s="4"/>
      <c r="W1224" s="6"/>
    </row>
    <row r="1225" spans="1:23" ht="15" thickBot="1" x14ac:dyDescent="0.35">
      <c r="A1225" s="2">
        <v>19</v>
      </c>
      <c r="B1225" s="3" t="s">
        <v>14</v>
      </c>
      <c r="C1225" s="2">
        <v>27.8</v>
      </c>
      <c r="D1225" s="2">
        <v>0</v>
      </c>
      <c r="E1225" s="3" t="s">
        <v>16</v>
      </c>
      <c r="F1225" s="3" t="s">
        <v>7</v>
      </c>
      <c r="G1225" s="4">
        <v>1635.73</v>
      </c>
      <c r="H1225">
        <f t="shared" si="39"/>
        <v>1</v>
      </c>
      <c r="I1225" s="6">
        <f t="shared" si="40"/>
        <v>1635.73</v>
      </c>
      <c r="L1225" s="19"/>
      <c r="O1225" s="2"/>
      <c r="P1225" s="3"/>
      <c r="Q1225" s="2"/>
      <c r="R1225" s="2"/>
      <c r="S1225" s="3"/>
      <c r="T1225" s="3"/>
      <c r="U1225" s="4"/>
      <c r="W1225" s="6"/>
    </row>
    <row r="1226" spans="1:23" ht="15" thickBot="1" x14ac:dyDescent="0.35">
      <c r="A1226" s="2">
        <v>19</v>
      </c>
      <c r="B1226" s="3" t="s">
        <v>15</v>
      </c>
      <c r="C1226" s="2">
        <v>21.7</v>
      </c>
      <c r="D1226" s="2">
        <v>0</v>
      </c>
      <c r="E1226" s="3" t="s">
        <v>17</v>
      </c>
      <c r="F1226" s="3" t="s">
        <v>8</v>
      </c>
      <c r="G1226" s="4">
        <v>13844.51</v>
      </c>
      <c r="H1226">
        <f t="shared" si="39"/>
        <v>1</v>
      </c>
      <c r="I1226" s="6">
        <f t="shared" si="40"/>
        <v>13844.51</v>
      </c>
      <c r="L1226" s="19"/>
      <c r="O1226" s="2"/>
      <c r="P1226" s="3"/>
      <c r="Q1226" s="2"/>
      <c r="R1226" s="2"/>
      <c r="S1226" s="3"/>
      <c r="T1226" s="3"/>
      <c r="U1226" s="4"/>
      <c r="W1226" s="6"/>
    </row>
    <row r="1227" spans="1:23" ht="15" thickBot="1" x14ac:dyDescent="0.35">
      <c r="A1227" s="2">
        <v>19</v>
      </c>
      <c r="B1227" s="3" t="s">
        <v>14</v>
      </c>
      <c r="C1227" s="2">
        <v>34.4</v>
      </c>
      <c r="D1227" s="2">
        <v>0</v>
      </c>
      <c r="E1227" s="3" t="s">
        <v>16</v>
      </c>
      <c r="F1227" s="3" t="s">
        <v>8</v>
      </c>
      <c r="G1227" s="4">
        <v>1261.8599999999999</v>
      </c>
      <c r="H1227">
        <f t="shared" si="39"/>
        <v>1</v>
      </c>
      <c r="I1227" s="6">
        <f t="shared" si="40"/>
        <v>1261.8599999999999</v>
      </c>
      <c r="L1227" s="19"/>
      <c r="O1227" s="2"/>
      <c r="P1227" s="3"/>
      <c r="Q1227" s="2"/>
      <c r="R1227" s="2"/>
      <c r="S1227" s="3"/>
      <c r="T1227" s="3"/>
      <c r="U1227" s="4"/>
      <c r="W1227" s="6"/>
    </row>
    <row r="1228" spans="1:23" ht="15" thickBot="1" x14ac:dyDescent="0.35">
      <c r="A1228" s="2">
        <v>19</v>
      </c>
      <c r="B1228" s="3" t="s">
        <v>15</v>
      </c>
      <c r="C1228" s="2">
        <v>37.4</v>
      </c>
      <c r="D1228" s="2">
        <v>0</v>
      </c>
      <c r="E1228" s="3" t="s">
        <v>16</v>
      </c>
      <c r="F1228" s="3" t="s">
        <v>7</v>
      </c>
      <c r="G1228" s="4">
        <v>2138.0700000000002</v>
      </c>
      <c r="H1228">
        <f t="shared" si="39"/>
        <v>1</v>
      </c>
      <c r="I1228" s="6">
        <f t="shared" si="40"/>
        <v>2138.0700000000002</v>
      </c>
      <c r="L1228" s="19"/>
      <c r="O1228" s="2"/>
      <c r="P1228" s="3"/>
      <c r="Q1228" s="2"/>
      <c r="R1228" s="2"/>
      <c r="S1228" s="3"/>
      <c r="T1228" s="3"/>
      <c r="U1228" s="4"/>
      <c r="W1228" s="6"/>
    </row>
    <row r="1229" spans="1:23" ht="15" thickBot="1" x14ac:dyDescent="0.35">
      <c r="A1229" s="2">
        <v>19</v>
      </c>
      <c r="B1229" s="3" t="s">
        <v>14</v>
      </c>
      <c r="C1229" s="2">
        <v>17.5</v>
      </c>
      <c r="D1229" s="2">
        <v>0</v>
      </c>
      <c r="E1229" s="3" t="s">
        <v>16</v>
      </c>
      <c r="F1229" s="3" t="s">
        <v>7</v>
      </c>
      <c r="G1229" s="4">
        <v>1621.34</v>
      </c>
      <c r="H1229">
        <f t="shared" si="39"/>
        <v>1</v>
      </c>
      <c r="I1229" s="6">
        <f t="shared" si="40"/>
        <v>1621.34</v>
      </c>
      <c r="L1229" s="19"/>
      <c r="O1229" s="2"/>
      <c r="P1229" s="3"/>
      <c r="Q1229" s="2"/>
      <c r="R1229" s="2"/>
      <c r="S1229" s="3"/>
      <c r="T1229" s="3"/>
      <c r="U1229" s="4"/>
      <c r="W1229" s="6"/>
    </row>
    <row r="1230" spans="1:23" ht="15" thickBot="1" x14ac:dyDescent="0.35">
      <c r="A1230" s="2">
        <v>19</v>
      </c>
      <c r="B1230" s="3" t="s">
        <v>15</v>
      </c>
      <c r="C1230" s="2">
        <v>35.200000000000003</v>
      </c>
      <c r="D1230" s="2">
        <v>0</v>
      </c>
      <c r="E1230" s="3" t="s">
        <v>16</v>
      </c>
      <c r="F1230" s="3" t="s">
        <v>7</v>
      </c>
      <c r="G1230" s="4">
        <v>2134.9</v>
      </c>
      <c r="H1230">
        <f t="shared" si="39"/>
        <v>1</v>
      </c>
      <c r="I1230" s="6">
        <f t="shared" si="40"/>
        <v>2134.9</v>
      </c>
      <c r="L1230" s="19"/>
      <c r="O1230" s="2"/>
      <c r="P1230" s="3"/>
      <c r="Q1230" s="2"/>
      <c r="R1230" s="2"/>
      <c r="S1230" s="3"/>
      <c r="T1230" s="3"/>
      <c r="U1230" s="4"/>
      <c r="W1230" s="6"/>
    </row>
    <row r="1231" spans="1:23" ht="15" thickBot="1" x14ac:dyDescent="0.35">
      <c r="A1231" s="2">
        <v>19</v>
      </c>
      <c r="B1231" s="3" t="s">
        <v>14</v>
      </c>
      <c r="C1231" s="2">
        <v>33.1</v>
      </c>
      <c r="D1231" s="2">
        <v>0</v>
      </c>
      <c r="E1231" s="3" t="s">
        <v>16</v>
      </c>
      <c r="F1231" s="3" t="s">
        <v>8</v>
      </c>
      <c r="G1231" s="4">
        <v>23082.959999999999</v>
      </c>
      <c r="H1231">
        <f t="shared" si="39"/>
        <v>1</v>
      </c>
      <c r="I1231" s="6">
        <f t="shared" si="40"/>
        <v>23082.959999999999</v>
      </c>
      <c r="L1231" s="19"/>
      <c r="O1231" s="2"/>
      <c r="P1231" s="3"/>
      <c r="Q1231" s="2"/>
      <c r="R1231" s="2"/>
      <c r="S1231" s="3"/>
      <c r="T1231" s="3"/>
      <c r="U1231" s="4"/>
      <c r="W1231" s="6"/>
    </row>
    <row r="1232" spans="1:23" ht="15" thickBot="1" x14ac:dyDescent="0.35">
      <c r="A1232" s="2">
        <v>19</v>
      </c>
      <c r="B1232" s="3" t="s">
        <v>14</v>
      </c>
      <c r="C1232" s="2">
        <v>25.2</v>
      </c>
      <c r="D1232" s="2">
        <v>0</v>
      </c>
      <c r="E1232" s="3" t="s">
        <v>16</v>
      </c>
      <c r="F1232" s="3" t="s">
        <v>7</v>
      </c>
      <c r="G1232" s="4">
        <v>1632.04</v>
      </c>
      <c r="H1232">
        <f t="shared" si="39"/>
        <v>1</v>
      </c>
      <c r="I1232" s="6">
        <f t="shared" si="40"/>
        <v>1632.04</v>
      </c>
      <c r="L1232" s="19"/>
      <c r="O1232" s="2"/>
      <c r="P1232" s="3"/>
      <c r="Q1232" s="2"/>
      <c r="R1232" s="2"/>
      <c r="S1232" s="3"/>
      <c r="T1232" s="3"/>
      <c r="U1232" s="4"/>
      <c r="W1232" s="6"/>
    </row>
    <row r="1233" spans="1:23" ht="15" thickBot="1" x14ac:dyDescent="0.35">
      <c r="A1233" s="2">
        <v>19</v>
      </c>
      <c r="B1233" s="3" t="s">
        <v>15</v>
      </c>
      <c r="C1233" s="2">
        <v>29.8</v>
      </c>
      <c r="D1233" s="2">
        <v>0</v>
      </c>
      <c r="E1233" s="3" t="s">
        <v>16</v>
      </c>
      <c r="F1233" s="3" t="s">
        <v>8</v>
      </c>
      <c r="G1233" s="4">
        <v>1744.47</v>
      </c>
      <c r="H1233">
        <f t="shared" si="39"/>
        <v>1</v>
      </c>
      <c r="I1233" s="6">
        <f t="shared" si="40"/>
        <v>1744.47</v>
      </c>
      <c r="L1233" s="19"/>
      <c r="O1233" s="2"/>
      <c r="P1233" s="3"/>
      <c r="Q1233" s="2"/>
      <c r="R1233" s="2"/>
      <c r="S1233" s="3"/>
      <c r="T1233" s="3"/>
      <c r="U1233" s="4"/>
      <c r="W1233" s="6"/>
    </row>
    <row r="1234" spans="1:23" ht="15" thickBot="1" x14ac:dyDescent="0.35">
      <c r="A1234" s="2">
        <v>19</v>
      </c>
      <c r="B1234" s="3" t="s">
        <v>14</v>
      </c>
      <c r="C1234" s="2">
        <v>28.7</v>
      </c>
      <c r="D1234" s="2">
        <v>0</v>
      </c>
      <c r="E1234" s="3" t="s">
        <v>16</v>
      </c>
      <c r="F1234" s="3" t="s">
        <v>8</v>
      </c>
      <c r="G1234" s="4">
        <v>1253.94</v>
      </c>
      <c r="H1234">
        <f t="shared" si="39"/>
        <v>1</v>
      </c>
      <c r="I1234" s="6">
        <f t="shared" si="40"/>
        <v>1253.94</v>
      </c>
      <c r="L1234" s="19"/>
      <c r="O1234" s="2"/>
      <c r="P1234" s="3"/>
      <c r="Q1234" s="2"/>
      <c r="R1234" s="2"/>
      <c r="S1234" s="3"/>
      <c r="T1234" s="3"/>
      <c r="U1234" s="4"/>
      <c r="W1234" s="6"/>
    </row>
    <row r="1235" spans="1:23" ht="15" thickBot="1" x14ac:dyDescent="0.35">
      <c r="A1235" s="2">
        <v>19</v>
      </c>
      <c r="B1235" s="3" t="s">
        <v>15</v>
      </c>
      <c r="C1235" s="2">
        <v>32.9</v>
      </c>
      <c r="D1235" s="2">
        <v>0</v>
      </c>
      <c r="E1235" s="3" t="s">
        <v>16</v>
      </c>
      <c r="F1235" s="3" t="s">
        <v>8</v>
      </c>
      <c r="G1235" s="4">
        <v>1748.77</v>
      </c>
      <c r="H1235">
        <f t="shared" si="39"/>
        <v>1</v>
      </c>
      <c r="I1235" s="6">
        <f t="shared" si="40"/>
        <v>1748.77</v>
      </c>
      <c r="L1235" s="19"/>
      <c r="O1235" s="2"/>
      <c r="P1235" s="3"/>
      <c r="Q1235" s="2"/>
      <c r="R1235" s="2"/>
      <c r="S1235" s="3"/>
      <c r="T1235" s="3"/>
      <c r="U1235" s="4"/>
      <c r="W1235" s="6"/>
    </row>
    <row r="1236" spans="1:23" ht="15" thickBot="1" x14ac:dyDescent="0.35">
      <c r="A1236" s="2">
        <v>19</v>
      </c>
      <c r="B1236" s="3" t="s">
        <v>14</v>
      </c>
      <c r="C1236" s="2">
        <v>30.3</v>
      </c>
      <c r="D1236" s="2">
        <v>0</v>
      </c>
      <c r="E1236" s="3" t="s">
        <v>17</v>
      </c>
      <c r="F1236" s="3" t="s">
        <v>10</v>
      </c>
      <c r="G1236" s="4">
        <v>32548.34</v>
      </c>
      <c r="H1236">
        <f t="shared" si="39"/>
        <v>1</v>
      </c>
      <c r="I1236" s="6">
        <f t="shared" si="40"/>
        <v>32548.34</v>
      </c>
      <c r="L1236" s="19"/>
      <c r="O1236" s="2"/>
      <c r="P1236" s="3"/>
      <c r="Q1236" s="2"/>
      <c r="R1236" s="2"/>
      <c r="S1236" s="3"/>
      <c r="T1236" s="3"/>
      <c r="U1236" s="4"/>
      <c r="W1236" s="6"/>
    </row>
    <row r="1237" spans="1:23" ht="15" thickBot="1" x14ac:dyDescent="0.35">
      <c r="A1237" s="2">
        <v>19</v>
      </c>
      <c r="B1237" s="3" t="s">
        <v>14</v>
      </c>
      <c r="C1237" s="2">
        <v>30.4</v>
      </c>
      <c r="D1237" s="2">
        <v>0</v>
      </c>
      <c r="E1237" s="3" t="s">
        <v>16</v>
      </c>
      <c r="F1237" s="3" t="s">
        <v>8</v>
      </c>
      <c r="G1237" s="4">
        <v>1256.3</v>
      </c>
      <c r="H1237">
        <f t="shared" si="39"/>
        <v>1</v>
      </c>
      <c r="I1237" s="6">
        <f t="shared" si="40"/>
        <v>1256.3</v>
      </c>
      <c r="L1237" s="19"/>
      <c r="O1237" s="2"/>
      <c r="P1237" s="3"/>
      <c r="Q1237" s="2"/>
      <c r="R1237" s="2"/>
      <c r="S1237" s="3"/>
      <c r="T1237" s="3"/>
      <c r="U1237" s="4"/>
      <c r="W1237" s="6"/>
    </row>
    <row r="1238" spans="1:23" ht="15" thickBot="1" x14ac:dyDescent="0.35">
      <c r="A1238" s="2">
        <v>19</v>
      </c>
      <c r="B1238" s="3" t="s">
        <v>15</v>
      </c>
      <c r="C1238" s="2">
        <v>30.6</v>
      </c>
      <c r="D1238" s="2">
        <v>2</v>
      </c>
      <c r="E1238" s="3" t="s">
        <v>16</v>
      </c>
      <c r="F1238" s="3" t="s">
        <v>7</v>
      </c>
      <c r="G1238" s="4">
        <v>24059.68</v>
      </c>
      <c r="H1238">
        <f t="shared" si="39"/>
        <v>3</v>
      </c>
      <c r="I1238" s="6">
        <f t="shared" si="40"/>
        <v>8019.8933333333334</v>
      </c>
      <c r="L1238" s="19"/>
      <c r="O1238" s="2"/>
      <c r="P1238" s="3"/>
      <c r="Q1238" s="2"/>
      <c r="R1238" s="2"/>
      <c r="S1238" s="3"/>
      <c r="T1238" s="3"/>
      <c r="U1238" s="4"/>
      <c r="W1238" s="6"/>
    </row>
    <row r="1239" spans="1:23" ht="15" thickBot="1" x14ac:dyDescent="0.35">
      <c r="A1239" s="2">
        <v>19</v>
      </c>
      <c r="B1239" s="3" t="s">
        <v>14</v>
      </c>
      <c r="C1239" s="2">
        <v>35.5</v>
      </c>
      <c r="D1239" s="2">
        <v>0</v>
      </c>
      <c r="E1239" s="3" t="s">
        <v>16</v>
      </c>
      <c r="F1239" s="3" t="s">
        <v>7</v>
      </c>
      <c r="G1239" s="4">
        <v>1646.43</v>
      </c>
      <c r="H1239">
        <f t="shared" si="39"/>
        <v>1</v>
      </c>
      <c r="I1239" s="6">
        <f t="shared" si="40"/>
        <v>1646.43</v>
      </c>
      <c r="L1239" s="19"/>
      <c r="O1239" s="2"/>
      <c r="P1239" s="3"/>
      <c r="Q1239" s="2"/>
      <c r="R1239" s="2"/>
      <c r="S1239" s="3"/>
      <c r="T1239" s="3"/>
      <c r="U1239" s="4"/>
      <c r="W1239" s="6"/>
    </row>
    <row r="1240" spans="1:23" ht="15" thickBot="1" x14ac:dyDescent="0.35">
      <c r="A1240" s="2">
        <v>19</v>
      </c>
      <c r="B1240" s="3" t="s">
        <v>15</v>
      </c>
      <c r="C1240" s="2">
        <v>30.5</v>
      </c>
      <c r="D1240" s="2">
        <v>0</v>
      </c>
      <c r="E1240" s="3" t="s">
        <v>16</v>
      </c>
      <c r="F1240" s="3" t="s">
        <v>7</v>
      </c>
      <c r="G1240" s="4">
        <v>2128.4299999999998</v>
      </c>
      <c r="H1240">
        <f t="shared" si="39"/>
        <v>1</v>
      </c>
      <c r="I1240" s="6">
        <f t="shared" si="40"/>
        <v>2128.4299999999998</v>
      </c>
      <c r="L1240" s="19"/>
      <c r="O1240" s="2"/>
      <c r="P1240" s="3"/>
      <c r="Q1240" s="2"/>
      <c r="R1240" s="2"/>
      <c r="S1240" s="3"/>
      <c r="T1240" s="3"/>
      <c r="U1240" s="4"/>
      <c r="W1240" s="6"/>
    </row>
    <row r="1241" spans="1:23" ht="15" thickBot="1" x14ac:dyDescent="0.35">
      <c r="A1241" s="2">
        <v>19</v>
      </c>
      <c r="B1241" s="3" t="s">
        <v>14</v>
      </c>
      <c r="C1241" s="2">
        <v>30.6</v>
      </c>
      <c r="D1241" s="2">
        <v>0</v>
      </c>
      <c r="E1241" s="3" t="s">
        <v>16</v>
      </c>
      <c r="F1241" s="3" t="s">
        <v>7</v>
      </c>
      <c r="G1241" s="4">
        <v>1639.56</v>
      </c>
      <c r="H1241">
        <f t="shared" si="39"/>
        <v>1</v>
      </c>
      <c r="I1241" s="6">
        <f t="shared" si="40"/>
        <v>1639.56</v>
      </c>
      <c r="L1241" s="19"/>
      <c r="O1241" s="2"/>
      <c r="P1241" s="3"/>
      <c r="Q1241" s="2"/>
      <c r="R1241" s="2"/>
      <c r="S1241" s="3"/>
      <c r="T1241" s="3"/>
      <c r="U1241" s="4"/>
      <c r="W1241" s="6"/>
    </row>
    <row r="1242" spans="1:23" ht="15" thickBot="1" x14ac:dyDescent="0.35">
      <c r="A1242" s="2">
        <v>19</v>
      </c>
      <c r="B1242" s="3" t="s">
        <v>14</v>
      </c>
      <c r="C1242" s="2">
        <v>20.7</v>
      </c>
      <c r="D1242" s="2">
        <v>0</v>
      </c>
      <c r="E1242" s="3" t="s">
        <v>16</v>
      </c>
      <c r="F1242" s="3" t="s">
        <v>8</v>
      </c>
      <c r="G1242" s="4">
        <v>1242.82</v>
      </c>
      <c r="H1242">
        <f t="shared" si="39"/>
        <v>1</v>
      </c>
      <c r="I1242" s="6">
        <f t="shared" si="40"/>
        <v>1242.82</v>
      </c>
      <c r="L1242" s="19"/>
      <c r="O1242" s="2"/>
      <c r="P1242" s="3"/>
      <c r="Q1242" s="2"/>
      <c r="R1242" s="2"/>
      <c r="S1242" s="3"/>
      <c r="T1242" s="3"/>
      <c r="U1242" s="4"/>
      <c r="W1242" s="6"/>
    </row>
    <row r="1243" spans="1:23" ht="15" thickBot="1" x14ac:dyDescent="0.35">
      <c r="A1243" s="2">
        <v>19</v>
      </c>
      <c r="B1243" s="3" t="s">
        <v>15</v>
      </c>
      <c r="C1243" s="2">
        <v>28.3</v>
      </c>
      <c r="D1243" s="2">
        <v>0</v>
      </c>
      <c r="E1243" s="3" t="s">
        <v>17</v>
      </c>
      <c r="F1243" s="3" t="s">
        <v>7</v>
      </c>
      <c r="G1243" s="4">
        <v>17468.98</v>
      </c>
      <c r="H1243">
        <f t="shared" si="39"/>
        <v>1</v>
      </c>
      <c r="I1243" s="6">
        <f t="shared" si="40"/>
        <v>17468.98</v>
      </c>
      <c r="L1243" s="19"/>
      <c r="O1243" s="2"/>
      <c r="P1243" s="3"/>
      <c r="Q1243" s="2"/>
      <c r="R1243" s="2"/>
      <c r="S1243" s="3"/>
      <c r="T1243" s="3"/>
      <c r="U1243" s="4"/>
      <c r="W1243" s="6"/>
    </row>
    <row r="1244" spans="1:23" ht="15" thickBot="1" x14ac:dyDescent="0.35">
      <c r="A1244" s="2">
        <v>19</v>
      </c>
      <c r="B1244" s="3" t="s">
        <v>15</v>
      </c>
      <c r="C1244" s="2">
        <v>33.1</v>
      </c>
      <c r="D1244" s="2">
        <v>0</v>
      </c>
      <c r="E1244" s="3" t="s">
        <v>17</v>
      </c>
      <c r="F1244" s="3" t="s">
        <v>10</v>
      </c>
      <c r="G1244" s="4">
        <v>34439.86</v>
      </c>
      <c r="H1244">
        <f t="shared" si="39"/>
        <v>1</v>
      </c>
      <c r="I1244" s="6">
        <f t="shared" si="40"/>
        <v>34439.86</v>
      </c>
      <c r="L1244" s="19"/>
      <c r="O1244" s="2"/>
      <c r="P1244" s="3"/>
      <c r="Q1244" s="2"/>
      <c r="R1244" s="2"/>
      <c r="S1244" s="3"/>
      <c r="T1244" s="3"/>
      <c r="U1244" s="4"/>
      <c r="W1244" s="6"/>
    </row>
    <row r="1245" spans="1:23" ht="15" thickBot="1" x14ac:dyDescent="0.35">
      <c r="A1245" s="2">
        <v>19</v>
      </c>
      <c r="B1245" s="3" t="s">
        <v>15</v>
      </c>
      <c r="C1245" s="2">
        <v>24.5</v>
      </c>
      <c r="D1245" s="2">
        <v>1</v>
      </c>
      <c r="E1245" s="3" t="s">
        <v>16</v>
      </c>
      <c r="F1245" s="3" t="s">
        <v>7</v>
      </c>
      <c r="G1245" s="4">
        <v>2709.11</v>
      </c>
      <c r="H1245">
        <f t="shared" si="39"/>
        <v>2</v>
      </c>
      <c r="I1245" s="6">
        <f t="shared" si="40"/>
        <v>1354.5550000000001</v>
      </c>
      <c r="L1245" s="19"/>
      <c r="O1245" s="2"/>
      <c r="P1245" s="3"/>
      <c r="Q1245" s="2"/>
      <c r="R1245" s="2"/>
      <c r="S1245" s="3"/>
      <c r="T1245" s="3"/>
      <c r="U1245" s="4"/>
      <c r="W1245" s="6"/>
    </row>
    <row r="1246" spans="1:23" ht="15" thickBot="1" x14ac:dyDescent="0.35">
      <c r="A1246" s="2">
        <v>19</v>
      </c>
      <c r="B1246" s="3" t="s">
        <v>14</v>
      </c>
      <c r="C1246" s="2">
        <v>20.3</v>
      </c>
      <c r="D1246" s="2">
        <v>0</v>
      </c>
      <c r="E1246" s="3" t="s">
        <v>16</v>
      </c>
      <c r="F1246" s="3" t="s">
        <v>8</v>
      </c>
      <c r="G1246" s="4">
        <v>1242.26</v>
      </c>
      <c r="H1246">
        <f t="shared" si="39"/>
        <v>1</v>
      </c>
      <c r="I1246" s="6">
        <f t="shared" si="40"/>
        <v>1242.26</v>
      </c>
      <c r="L1246" s="19"/>
      <c r="O1246" s="2"/>
      <c r="P1246" s="3"/>
      <c r="Q1246" s="2"/>
      <c r="R1246" s="2"/>
      <c r="S1246" s="3"/>
      <c r="T1246" s="3"/>
      <c r="U1246" s="4"/>
      <c r="W1246" s="6"/>
    </row>
    <row r="1247" spans="1:23" ht="15" thickBot="1" x14ac:dyDescent="0.35">
      <c r="A1247" s="2">
        <v>19</v>
      </c>
      <c r="B1247" s="3" t="s">
        <v>14</v>
      </c>
      <c r="C1247" s="2">
        <v>35.4</v>
      </c>
      <c r="D1247" s="2">
        <v>0</v>
      </c>
      <c r="E1247" s="3" t="s">
        <v>16</v>
      </c>
      <c r="F1247" s="3" t="s">
        <v>8</v>
      </c>
      <c r="G1247" s="4">
        <v>1263.25</v>
      </c>
      <c r="H1247">
        <f t="shared" si="39"/>
        <v>1</v>
      </c>
      <c r="I1247" s="6">
        <f t="shared" si="40"/>
        <v>1263.25</v>
      </c>
      <c r="L1247" s="19"/>
      <c r="O1247" s="2"/>
      <c r="P1247" s="3"/>
      <c r="Q1247" s="2"/>
      <c r="R1247" s="2"/>
      <c r="S1247" s="3"/>
      <c r="T1247" s="3"/>
      <c r="U1247" s="4"/>
      <c r="W1247" s="6"/>
    </row>
    <row r="1248" spans="1:23" ht="15" thickBot="1" x14ac:dyDescent="0.35">
      <c r="A1248" s="2">
        <v>19</v>
      </c>
      <c r="B1248" s="3" t="s">
        <v>14</v>
      </c>
      <c r="C1248" s="2">
        <v>21.8</v>
      </c>
      <c r="D1248" s="2">
        <v>0</v>
      </c>
      <c r="E1248" s="3" t="s">
        <v>16</v>
      </c>
      <c r="F1248" s="3" t="s">
        <v>7</v>
      </c>
      <c r="G1248" s="4">
        <v>1627.28</v>
      </c>
      <c r="H1248">
        <f t="shared" si="39"/>
        <v>1</v>
      </c>
      <c r="I1248" s="6">
        <f t="shared" si="40"/>
        <v>1627.28</v>
      </c>
      <c r="L1248" s="19"/>
      <c r="O1248" s="2"/>
      <c r="P1248" s="3"/>
      <c r="Q1248" s="2"/>
      <c r="R1248" s="2"/>
      <c r="S1248" s="3"/>
      <c r="T1248" s="3"/>
      <c r="U1248" s="4"/>
      <c r="W1248" s="6"/>
    </row>
    <row r="1249" spans="1:23" ht="15" thickBot="1" x14ac:dyDescent="0.35">
      <c r="A1249" s="2">
        <v>19</v>
      </c>
      <c r="B1249" s="3" t="s">
        <v>15</v>
      </c>
      <c r="C1249" s="2">
        <v>28.9</v>
      </c>
      <c r="D1249" s="2">
        <v>0</v>
      </c>
      <c r="E1249" s="3" t="s">
        <v>17</v>
      </c>
      <c r="F1249" s="3" t="s">
        <v>7</v>
      </c>
      <c r="G1249" s="4">
        <v>17748.509999999998</v>
      </c>
      <c r="H1249">
        <f t="shared" si="39"/>
        <v>1</v>
      </c>
      <c r="I1249" s="6">
        <f t="shared" si="40"/>
        <v>17748.509999999998</v>
      </c>
      <c r="L1249" s="19"/>
      <c r="O1249" s="2"/>
      <c r="P1249" s="3"/>
      <c r="Q1249" s="2"/>
      <c r="R1249" s="2"/>
      <c r="S1249" s="3"/>
      <c r="T1249" s="3"/>
      <c r="U1249" s="4"/>
      <c r="W1249" s="6"/>
    </row>
    <row r="1250" spans="1:23" ht="15" thickBot="1" x14ac:dyDescent="0.35">
      <c r="A1250" s="2">
        <v>19</v>
      </c>
      <c r="B1250" s="3" t="s">
        <v>14</v>
      </c>
      <c r="C1250" s="2">
        <v>27.6</v>
      </c>
      <c r="D1250" s="2">
        <v>0</v>
      </c>
      <c r="E1250" s="3" t="s">
        <v>16</v>
      </c>
      <c r="F1250" s="3" t="s">
        <v>8</v>
      </c>
      <c r="G1250" s="4">
        <v>1252.4100000000001</v>
      </c>
      <c r="H1250">
        <f t="shared" si="39"/>
        <v>1</v>
      </c>
      <c r="I1250" s="6">
        <f t="shared" si="40"/>
        <v>1252.4100000000001</v>
      </c>
      <c r="L1250" s="19"/>
      <c r="O1250" s="2"/>
      <c r="P1250" s="3"/>
      <c r="Q1250" s="2"/>
      <c r="R1250" s="2"/>
      <c r="S1250" s="3"/>
      <c r="T1250" s="3"/>
      <c r="U1250" s="4"/>
      <c r="W1250" s="6"/>
    </row>
    <row r="1251" spans="1:23" ht="15" thickBot="1" x14ac:dyDescent="0.35">
      <c r="A1251" s="2">
        <v>19</v>
      </c>
      <c r="B1251" s="3" t="s">
        <v>15</v>
      </c>
      <c r="C1251" s="2">
        <v>36.6</v>
      </c>
      <c r="D1251" s="2">
        <v>0</v>
      </c>
      <c r="E1251" s="3" t="s">
        <v>16</v>
      </c>
      <c r="F1251" s="3" t="s">
        <v>7</v>
      </c>
      <c r="G1251" s="4">
        <v>2136.88</v>
      </c>
      <c r="H1251">
        <f t="shared" si="39"/>
        <v>1</v>
      </c>
      <c r="I1251" s="6">
        <f t="shared" si="40"/>
        <v>2136.88</v>
      </c>
      <c r="L1251" s="19"/>
      <c r="O1251" s="2"/>
      <c r="P1251" s="3"/>
      <c r="Q1251" s="2"/>
      <c r="R1251" s="2"/>
      <c r="S1251" s="3"/>
      <c r="T1251" s="3"/>
      <c r="U1251" s="4"/>
      <c r="W1251" s="6"/>
    </row>
    <row r="1252" spans="1:23" ht="15" thickBot="1" x14ac:dyDescent="0.35">
      <c r="A1252" s="2">
        <v>19</v>
      </c>
      <c r="B1252" s="3" t="s">
        <v>14</v>
      </c>
      <c r="C1252" s="2">
        <v>25.6</v>
      </c>
      <c r="D1252" s="2">
        <v>1</v>
      </c>
      <c r="E1252" s="3" t="s">
        <v>16</v>
      </c>
      <c r="F1252" s="3" t="s">
        <v>7</v>
      </c>
      <c r="G1252" s="4">
        <v>2221.56</v>
      </c>
      <c r="H1252">
        <f t="shared" si="39"/>
        <v>2</v>
      </c>
      <c r="I1252" s="6">
        <f t="shared" si="40"/>
        <v>1110.78</v>
      </c>
      <c r="L1252" s="19"/>
      <c r="O1252" s="2"/>
      <c r="P1252" s="3"/>
      <c r="Q1252" s="2"/>
      <c r="R1252" s="2"/>
      <c r="S1252" s="3"/>
      <c r="T1252" s="3"/>
      <c r="U1252" s="4"/>
      <c r="W1252" s="6"/>
    </row>
    <row r="1253" spans="1:23" ht="15" thickBot="1" x14ac:dyDescent="0.35">
      <c r="A1253" s="2">
        <v>19</v>
      </c>
      <c r="B1253" s="3" t="s">
        <v>15</v>
      </c>
      <c r="C1253" s="2">
        <v>22.5</v>
      </c>
      <c r="D1253" s="2">
        <v>0</v>
      </c>
      <c r="E1253" s="3" t="s">
        <v>16</v>
      </c>
      <c r="F1253" s="3" t="s">
        <v>7</v>
      </c>
      <c r="G1253" s="4">
        <v>2117.34</v>
      </c>
      <c r="H1253">
        <f t="shared" si="39"/>
        <v>1</v>
      </c>
      <c r="I1253" s="6">
        <f t="shared" si="40"/>
        <v>2117.34</v>
      </c>
      <c r="L1253" s="19"/>
      <c r="O1253" s="2"/>
      <c r="P1253" s="3"/>
      <c r="Q1253" s="2"/>
      <c r="R1253" s="2"/>
      <c r="S1253" s="3"/>
      <c r="T1253" s="3"/>
      <c r="U1253" s="4"/>
      <c r="W1253" s="6"/>
    </row>
    <row r="1254" spans="1:23" ht="15" thickBot="1" x14ac:dyDescent="0.35">
      <c r="A1254" s="2">
        <v>19</v>
      </c>
      <c r="B1254" s="3" t="s">
        <v>15</v>
      </c>
      <c r="C1254" s="2">
        <v>23.4</v>
      </c>
      <c r="D1254" s="2">
        <v>2</v>
      </c>
      <c r="E1254" s="3" t="s">
        <v>16</v>
      </c>
      <c r="F1254" s="3" t="s">
        <v>8</v>
      </c>
      <c r="G1254" s="4">
        <v>2913.57</v>
      </c>
      <c r="H1254">
        <f t="shared" si="39"/>
        <v>3</v>
      </c>
      <c r="I1254" s="6">
        <f t="shared" si="40"/>
        <v>971.19</v>
      </c>
      <c r="L1254" s="19"/>
      <c r="O1254" s="2"/>
      <c r="P1254" s="3"/>
      <c r="Q1254" s="2"/>
      <c r="R1254" s="2"/>
      <c r="S1254" s="3"/>
      <c r="T1254" s="3"/>
      <c r="U1254" s="4"/>
      <c r="W1254" s="6"/>
    </row>
    <row r="1255" spans="1:23" ht="15" thickBot="1" x14ac:dyDescent="0.35">
      <c r="A1255" s="2">
        <v>19</v>
      </c>
      <c r="B1255" s="3" t="s">
        <v>14</v>
      </c>
      <c r="C1255" s="2">
        <v>22.6</v>
      </c>
      <c r="D1255" s="2">
        <v>0</v>
      </c>
      <c r="E1255" s="3" t="s">
        <v>16</v>
      </c>
      <c r="F1255" s="3" t="s">
        <v>7</v>
      </c>
      <c r="G1255" s="4">
        <v>1628.47</v>
      </c>
      <c r="H1255">
        <f t="shared" si="39"/>
        <v>1</v>
      </c>
      <c r="I1255" s="6">
        <f t="shared" si="40"/>
        <v>1628.47</v>
      </c>
      <c r="L1255" s="19"/>
      <c r="O1255" s="2"/>
      <c r="P1255" s="3"/>
      <c r="Q1255" s="2"/>
      <c r="R1255" s="2"/>
      <c r="S1255" s="3"/>
      <c r="T1255" s="3"/>
      <c r="U1255" s="4"/>
      <c r="W1255" s="6"/>
    </row>
    <row r="1256" spans="1:23" ht="15" thickBot="1" x14ac:dyDescent="0.35">
      <c r="A1256" s="2">
        <v>19</v>
      </c>
      <c r="B1256" s="3" t="s">
        <v>15</v>
      </c>
      <c r="C1256" s="2">
        <v>39.6</v>
      </c>
      <c r="D1256" s="2">
        <v>1</v>
      </c>
      <c r="E1256" s="3" t="s">
        <v>16</v>
      </c>
      <c r="F1256" s="3" t="s">
        <v>7</v>
      </c>
      <c r="G1256" s="4">
        <v>2730.11</v>
      </c>
      <c r="H1256">
        <f t="shared" si="39"/>
        <v>2</v>
      </c>
      <c r="I1256" s="6">
        <f t="shared" si="40"/>
        <v>1365.0550000000001</v>
      </c>
      <c r="L1256" s="19"/>
      <c r="O1256" s="2"/>
      <c r="P1256" s="3"/>
      <c r="Q1256" s="2"/>
      <c r="R1256" s="2"/>
      <c r="S1256" s="3"/>
      <c r="T1256" s="3"/>
      <c r="U1256" s="4"/>
      <c r="W1256" s="6"/>
    </row>
    <row r="1257" spans="1:23" ht="15" thickBot="1" x14ac:dyDescent="0.35">
      <c r="A1257" s="2">
        <v>19</v>
      </c>
      <c r="B1257" s="3" t="s">
        <v>15</v>
      </c>
      <c r="C1257" s="2">
        <v>40.5</v>
      </c>
      <c r="D1257" s="2">
        <v>0</v>
      </c>
      <c r="E1257" s="3" t="s">
        <v>16</v>
      </c>
      <c r="F1257" s="3" t="s">
        <v>8</v>
      </c>
      <c r="G1257" s="4">
        <v>1759.34</v>
      </c>
      <c r="H1257">
        <f t="shared" si="39"/>
        <v>1</v>
      </c>
      <c r="I1257" s="6">
        <f t="shared" si="40"/>
        <v>1759.34</v>
      </c>
      <c r="L1257" s="19"/>
      <c r="O1257" s="2"/>
      <c r="P1257" s="3"/>
      <c r="Q1257" s="2"/>
      <c r="R1257" s="2"/>
      <c r="S1257" s="3"/>
      <c r="T1257" s="3"/>
      <c r="U1257" s="4"/>
      <c r="W1257" s="6"/>
    </row>
    <row r="1258" spans="1:23" ht="15" thickBot="1" x14ac:dyDescent="0.35">
      <c r="A1258" s="2">
        <v>19</v>
      </c>
      <c r="B1258" s="3" t="s">
        <v>15</v>
      </c>
      <c r="C1258" s="2">
        <v>24.6</v>
      </c>
      <c r="D1258" s="2">
        <v>1</v>
      </c>
      <c r="E1258" s="3" t="s">
        <v>16</v>
      </c>
      <c r="F1258" s="3" t="s">
        <v>7</v>
      </c>
      <c r="G1258" s="4">
        <v>2709.24</v>
      </c>
      <c r="H1258">
        <f t="shared" si="39"/>
        <v>2</v>
      </c>
      <c r="I1258" s="6">
        <f t="shared" si="40"/>
        <v>1354.62</v>
      </c>
      <c r="L1258" s="19"/>
      <c r="O1258" s="2"/>
      <c r="P1258" s="3"/>
      <c r="Q1258" s="2"/>
      <c r="R1258" s="2"/>
      <c r="S1258" s="3"/>
      <c r="T1258" s="3"/>
      <c r="U1258" s="4"/>
      <c r="W1258" s="6"/>
    </row>
    <row r="1259" spans="1:23" ht="15" thickBot="1" x14ac:dyDescent="0.35">
      <c r="A1259" s="2">
        <v>19</v>
      </c>
      <c r="B1259" s="3" t="s">
        <v>14</v>
      </c>
      <c r="C1259" s="2">
        <v>26</v>
      </c>
      <c r="D1259" s="2">
        <v>1</v>
      </c>
      <c r="E1259" s="3" t="s">
        <v>17</v>
      </c>
      <c r="F1259" s="3" t="s">
        <v>7</v>
      </c>
      <c r="G1259" s="4">
        <v>16450.89</v>
      </c>
      <c r="H1259">
        <f t="shared" si="39"/>
        <v>2</v>
      </c>
      <c r="I1259" s="6">
        <f t="shared" si="40"/>
        <v>8225.4449999999997</v>
      </c>
      <c r="L1259" s="19"/>
      <c r="O1259" s="2"/>
      <c r="P1259" s="3"/>
      <c r="Q1259" s="2"/>
      <c r="R1259" s="2"/>
      <c r="S1259" s="3"/>
      <c r="T1259" s="3"/>
      <c r="U1259" s="4"/>
      <c r="W1259" s="6"/>
    </row>
    <row r="1260" spans="1:23" ht="15" thickBot="1" x14ac:dyDescent="0.35">
      <c r="A1260" s="2">
        <v>19</v>
      </c>
      <c r="B1260" s="3" t="s">
        <v>14</v>
      </c>
      <c r="C1260" s="2">
        <v>27.3</v>
      </c>
      <c r="D1260" s="2">
        <v>2</v>
      </c>
      <c r="E1260" s="3" t="s">
        <v>16</v>
      </c>
      <c r="F1260" s="3" t="s">
        <v>7</v>
      </c>
      <c r="G1260" s="4">
        <v>22493.66</v>
      </c>
      <c r="H1260">
        <f t="shared" si="39"/>
        <v>3</v>
      </c>
      <c r="I1260" s="6">
        <f t="shared" si="40"/>
        <v>7497.8866666666663</v>
      </c>
      <c r="L1260" s="19"/>
      <c r="O1260" s="2"/>
      <c r="P1260" s="3"/>
      <c r="Q1260" s="2"/>
      <c r="R1260" s="2"/>
      <c r="S1260" s="3"/>
      <c r="T1260" s="3"/>
      <c r="U1260" s="4"/>
      <c r="W1260" s="6"/>
    </row>
    <row r="1261" spans="1:23" ht="15" thickBot="1" x14ac:dyDescent="0.35">
      <c r="A1261" s="2">
        <v>19</v>
      </c>
      <c r="B1261" s="3" t="s">
        <v>15</v>
      </c>
      <c r="C1261" s="2">
        <v>18.600000000000001</v>
      </c>
      <c r="D1261" s="2">
        <v>0</v>
      </c>
      <c r="E1261" s="3" t="s">
        <v>16</v>
      </c>
      <c r="F1261" s="3" t="s">
        <v>8</v>
      </c>
      <c r="G1261" s="4">
        <v>1728.9</v>
      </c>
      <c r="H1261">
        <f t="shared" si="39"/>
        <v>1</v>
      </c>
      <c r="I1261" s="6">
        <f t="shared" si="40"/>
        <v>1728.9</v>
      </c>
      <c r="L1261" s="19"/>
      <c r="O1261" s="2"/>
      <c r="P1261" s="3"/>
      <c r="Q1261" s="2"/>
      <c r="R1261" s="2"/>
      <c r="S1261" s="3"/>
      <c r="T1261" s="3"/>
      <c r="U1261" s="4"/>
      <c r="W1261" s="6"/>
    </row>
    <row r="1262" spans="1:23" ht="15" thickBot="1" x14ac:dyDescent="0.35">
      <c r="A1262" s="2">
        <v>19</v>
      </c>
      <c r="B1262" s="3" t="s">
        <v>15</v>
      </c>
      <c r="C1262" s="2">
        <v>32.5</v>
      </c>
      <c r="D1262" s="2">
        <v>0</v>
      </c>
      <c r="E1262" s="3" t="s">
        <v>17</v>
      </c>
      <c r="F1262" s="3" t="s">
        <v>7</v>
      </c>
      <c r="G1262" s="4">
        <v>36898.730000000003</v>
      </c>
      <c r="H1262">
        <f t="shared" si="39"/>
        <v>1</v>
      </c>
      <c r="I1262" s="6">
        <f t="shared" si="40"/>
        <v>36898.730000000003</v>
      </c>
      <c r="L1262" s="19"/>
      <c r="O1262" s="2"/>
      <c r="P1262" s="3"/>
      <c r="Q1262" s="2"/>
      <c r="R1262" s="2"/>
      <c r="S1262" s="3"/>
      <c r="T1262" s="3"/>
      <c r="U1262" s="4"/>
      <c r="W1262" s="6"/>
    </row>
    <row r="1263" spans="1:23" ht="15" thickBot="1" x14ac:dyDescent="0.35">
      <c r="A1263" s="2">
        <v>19</v>
      </c>
      <c r="B1263" s="3" t="s">
        <v>14</v>
      </c>
      <c r="C1263" s="2">
        <v>44.9</v>
      </c>
      <c r="D1263" s="2">
        <v>0</v>
      </c>
      <c r="E1263" s="3" t="s">
        <v>17</v>
      </c>
      <c r="F1263" s="3" t="s">
        <v>10</v>
      </c>
      <c r="G1263" s="4">
        <v>39722.75</v>
      </c>
      <c r="H1263">
        <f t="shared" si="39"/>
        <v>1</v>
      </c>
      <c r="I1263" s="6">
        <f t="shared" si="40"/>
        <v>39722.75</v>
      </c>
      <c r="L1263" s="19"/>
      <c r="O1263" s="2"/>
      <c r="P1263" s="3"/>
      <c r="Q1263" s="2"/>
      <c r="R1263" s="2"/>
      <c r="S1263" s="3"/>
      <c r="T1263" s="3"/>
      <c r="U1263" s="4"/>
      <c r="W1263" s="6"/>
    </row>
    <row r="1264" spans="1:23" ht="15" thickBot="1" x14ac:dyDescent="0.35">
      <c r="A1264" s="2">
        <v>19</v>
      </c>
      <c r="B1264" s="3" t="s">
        <v>15</v>
      </c>
      <c r="C1264" s="2">
        <v>27.9</v>
      </c>
      <c r="D1264" s="2">
        <v>3</v>
      </c>
      <c r="E1264" s="3" t="s">
        <v>16</v>
      </c>
      <c r="F1264" s="3" t="s">
        <v>7</v>
      </c>
      <c r="G1264" s="4">
        <v>18838.7</v>
      </c>
      <c r="H1264">
        <f t="shared" si="39"/>
        <v>4</v>
      </c>
      <c r="I1264" s="6">
        <f t="shared" si="40"/>
        <v>4709.6750000000002</v>
      </c>
      <c r="L1264" s="19"/>
      <c r="O1264" s="2"/>
      <c r="P1264" s="3"/>
      <c r="Q1264" s="2"/>
      <c r="R1264" s="2"/>
      <c r="S1264" s="3"/>
      <c r="T1264" s="3"/>
      <c r="U1264" s="4"/>
      <c r="W1264" s="6"/>
    </row>
    <row r="1265" spans="1:23" ht="15" thickBot="1" x14ac:dyDescent="0.35">
      <c r="A1265" s="2">
        <v>19</v>
      </c>
      <c r="B1265" s="3" t="s">
        <v>15</v>
      </c>
      <c r="C1265" s="2">
        <v>30</v>
      </c>
      <c r="D1265" s="2">
        <v>0</v>
      </c>
      <c r="E1265" s="3" t="s">
        <v>17</v>
      </c>
      <c r="F1265" s="3" t="s">
        <v>7</v>
      </c>
      <c r="G1265" s="4">
        <v>33307.550000000003</v>
      </c>
      <c r="H1265">
        <f t="shared" si="39"/>
        <v>1</v>
      </c>
      <c r="I1265" s="6">
        <f t="shared" si="40"/>
        <v>33307.550000000003</v>
      </c>
      <c r="L1265" s="19"/>
      <c r="O1265" s="2"/>
      <c r="P1265" s="3"/>
      <c r="Q1265" s="2"/>
      <c r="R1265" s="2"/>
      <c r="S1265" s="3"/>
      <c r="T1265" s="3"/>
      <c r="U1265" s="4"/>
      <c r="W1265" s="6"/>
    </row>
    <row r="1266" spans="1:23" ht="15" thickBot="1" x14ac:dyDescent="0.35">
      <c r="A1266" s="2">
        <v>19</v>
      </c>
      <c r="B1266" s="3" t="s">
        <v>14</v>
      </c>
      <c r="C1266" s="2">
        <v>19.8</v>
      </c>
      <c r="D1266" s="2">
        <v>0</v>
      </c>
      <c r="E1266" s="3" t="s">
        <v>16</v>
      </c>
      <c r="F1266" s="3" t="s">
        <v>8</v>
      </c>
      <c r="G1266" s="4">
        <v>1241.57</v>
      </c>
      <c r="H1266">
        <f t="shared" si="39"/>
        <v>1</v>
      </c>
      <c r="I1266" s="6">
        <f t="shared" si="40"/>
        <v>1241.57</v>
      </c>
      <c r="L1266" s="19"/>
      <c r="O1266" s="2"/>
      <c r="P1266" s="3"/>
      <c r="Q1266" s="2"/>
      <c r="R1266" s="2"/>
      <c r="S1266" s="3"/>
      <c r="T1266" s="3"/>
      <c r="U1266" s="4"/>
      <c r="W1266" s="6"/>
    </row>
    <row r="1267" spans="1:23" ht="15" thickBot="1" x14ac:dyDescent="0.35">
      <c r="A1267" s="2">
        <v>19</v>
      </c>
      <c r="B1267" s="3" t="s">
        <v>14</v>
      </c>
      <c r="C1267" s="2">
        <v>34.9</v>
      </c>
      <c r="D1267" s="2">
        <v>0</v>
      </c>
      <c r="E1267" s="3" t="s">
        <v>17</v>
      </c>
      <c r="F1267" s="3" t="s">
        <v>8</v>
      </c>
      <c r="G1267" s="4">
        <v>34828.65</v>
      </c>
      <c r="H1267">
        <f t="shared" si="39"/>
        <v>1</v>
      </c>
      <c r="I1267" s="6">
        <f t="shared" si="40"/>
        <v>34828.65</v>
      </c>
      <c r="L1267" s="19"/>
      <c r="O1267" s="2"/>
      <c r="P1267" s="3"/>
      <c r="Q1267" s="2"/>
      <c r="R1267" s="2"/>
      <c r="S1267" s="3"/>
      <c r="T1267" s="3"/>
      <c r="U1267" s="4"/>
      <c r="W1267" s="6"/>
    </row>
    <row r="1268" spans="1:23" ht="15" thickBot="1" x14ac:dyDescent="0.35">
      <c r="A1268" s="2">
        <v>19</v>
      </c>
      <c r="B1268" s="3" t="s">
        <v>15</v>
      </c>
      <c r="C1268" s="2">
        <v>25.7</v>
      </c>
      <c r="D1268" s="2">
        <v>1</v>
      </c>
      <c r="E1268" s="3" t="s">
        <v>16</v>
      </c>
      <c r="F1268" s="3" t="s">
        <v>7</v>
      </c>
      <c r="G1268" s="4">
        <v>2710.83</v>
      </c>
      <c r="H1268">
        <f t="shared" si="39"/>
        <v>2</v>
      </c>
      <c r="I1268" s="6">
        <f t="shared" si="40"/>
        <v>1355.415</v>
      </c>
      <c r="L1268" s="19"/>
      <c r="O1268" s="2"/>
      <c r="P1268" s="3"/>
      <c r="Q1268" s="2"/>
      <c r="R1268" s="2"/>
      <c r="S1268" s="3"/>
      <c r="T1268" s="3"/>
      <c r="U1268" s="4"/>
      <c r="W1268" s="6"/>
    </row>
    <row r="1269" spans="1:23" ht="15" thickBot="1" x14ac:dyDescent="0.35">
      <c r="A1269" s="2">
        <v>19</v>
      </c>
      <c r="B1269" s="3" t="s">
        <v>15</v>
      </c>
      <c r="C1269" s="2">
        <v>34.700000000000003</v>
      </c>
      <c r="D1269" s="2">
        <v>2</v>
      </c>
      <c r="E1269" s="3" t="s">
        <v>17</v>
      </c>
      <c r="F1269" s="3" t="s">
        <v>8</v>
      </c>
      <c r="G1269" s="4">
        <v>36397.58</v>
      </c>
      <c r="H1269">
        <f t="shared" si="39"/>
        <v>3</v>
      </c>
      <c r="I1269" s="6">
        <f t="shared" si="40"/>
        <v>12132.526666666667</v>
      </c>
      <c r="L1269" s="19"/>
      <c r="O1269" s="2"/>
      <c r="P1269" s="3"/>
      <c r="Q1269" s="2"/>
      <c r="R1269" s="2"/>
      <c r="S1269" s="3"/>
      <c r="T1269" s="3"/>
      <c r="U1269" s="4"/>
      <c r="W1269" s="6"/>
    </row>
    <row r="1270" spans="1:23" ht="15" thickBot="1" x14ac:dyDescent="0.35">
      <c r="A1270" s="2">
        <v>19</v>
      </c>
      <c r="B1270" s="3" t="s">
        <v>15</v>
      </c>
      <c r="C1270" s="2">
        <v>20.6</v>
      </c>
      <c r="D1270" s="2">
        <v>0</v>
      </c>
      <c r="E1270" s="3" t="s">
        <v>16</v>
      </c>
      <c r="F1270" s="3" t="s">
        <v>8</v>
      </c>
      <c r="G1270" s="4">
        <v>1731.68</v>
      </c>
      <c r="H1270">
        <f t="shared" si="39"/>
        <v>1</v>
      </c>
      <c r="I1270" s="6">
        <f t="shared" si="40"/>
        <v>1731.68</v>
      </c>
      <c r="L1270" s="19"/>
      <c r="O1270" s="2"/>
      <c r="P1270" s="3"/>
      <c r="Q1270" s="2"/>
      <c r="R1270" s="2"/>
      <c r="S1270" s="3"/>
      <c r="T1270" s="3"/>
      <c r="U1270" s="4"/>
      <c r="W1270" s="6"/>
    </row>
    <row r="1271" spans="1:23" ht="15" thickBot="1" x14ac:dyDescent="0.35">
      <c r="A1271" s="2">
        <v>18</v>
      </c>
      <c r="B1271" s="3" t="s">
        <v>14</v>
      </c>
      <c r="C1271" s="2">
        <v>33.799999999999997</v>
      </c>
      <c r="D1271" s="2">
        <v>1</v>
      </c>
      <c r="E1271" s="3" t="s">
        <v>16</v>
      </c>
      <c r="F1271" s="3" t="s">
        <v>10</v>
      </c>
      <c r="G1271" s="4">
        <v>1725.55</v>
      </c>
      <c r="H1271">
        <f t="shared" si="39"/>
        <v>2</v>
      </c>
      <c r="I1271" s="6">
        <f t="shared" si="40"/>
        <v>862.77499999999998</v>
      </c>
      <c r="L1271" s="19"/>
      <c r="O1271" s="2"/>
      <c r="P1271" s="3"/>
      <c r="Q1271" s="2"/>
      <c r="R1271" s="2"/>
      <c r="S1271" s="3"/>
      <c r="T1271" s="3"/>
      <c r="U1271" s="4"/>
      <c r="W1271" s="6"/>
    </row>
    <row r="1272" spans="1:23" ht="15" thickBot="1" x14ac:dyDescent="0.35">
      <c r="A1272" s="2">
        <v>18</v>
      </c>
      <c r="B1272" s="3" t="s">
        <v>14</v>
      </c>
      <c r="C1272" s="2">
        <v>34.1</v>
      </c>
      <c r="D1272" s="2">
        <v>0</v>
      </c>
      <c r="E1272" s="3" t="s">
        <v>16</v>
      </c>
      <c r="F1272" s="3" t="s">
        <v>10</v>
      </c>
      <c r="G1272" s="4">
        <v>1137.01</v>
      </c>
      <c r="H1272">
        <f t="shared" si="39"/>
        <v>1</v>
      </c>
      <c r="I1272" s="6">
        <f t="shared" si="40"/>
        <v>1137.01</v>
      </c>
      <c r="L1272" s="19"/>
      <c r="O1272" s="2"/>
      <c r="P1272" s="3"/>
      <c r="Q1272" s="2"/>
      <c r="R1272" s="2"/>
      <c r="S1272" s="3"/>
      <c r="T1272" s="3"/>
      <c r="U1272" s="4"/>
      <c r="W1272" s="6"/>
    </row>
    <row r="1273" spans="1:23" ht="15" thickBot="1" x14ac:dyDescent="0.35">
      <c r="A1273" s="2">
        <v>18</v>
      </c>
      <c r="B1273" s="3" t="s">
        <v>15</v>
      </c>
      <c r="C1273" s="2">
        <v>26.3</v>
      </c>
      <c r="D1273" s="2">
        <v>0</v>
      </c>
      <c r="E1273" s="3" t="s">
        <v>16</v>
      </c>
      <c r="F1273" s="3" t="s">
        <v>9</v>
      </c>
      <c r="G1273" s="4">
        <v>2198.19</v>
      </c>
      <c r="H1273">
        <f t="shared" si="39"/>
        <v>1</v>
      </c>
      <c r="I1273" s="6">
        <f t="shared" si="40"/>
        <v>2198.19</v>
      </c>
      <c r="L1273" s="19"/>
      <c r="O1273" s="2"/>
      <c r="P1273" s="3"/>
      <c r="Q1273" s="2"/>
      <c r="R1273" s="2"/>
      <c r="S1273" s="3"/>
      <c r="T1273" s="3"/>
      <c r="U1273" s="4"/>
      <c r="W1273" s="6"/>
    </row>
    <row r="1274" spans="1:23" ht="15" thickBot="1" x14ac:dyDescent="0.35">
      <c r="A1274" s="2">
        <v>18</v>
      </c>
      <c r="B1274" s="3" t="s">
        <v>15</v>
      </c>
      <c r="C1274" s="2">
        <v>38.700000000000003</v>
      </c>
      <c r="D1274" s="2">
        <v>2</v>
      </c>
      <c r="E1274" s="3" t="s">
        <v>16</v>
      </c>
      <c r="F1274" s="3" t="s">
        <v>9</v>
      </c>
      <c r="G1274" s="4">
        <v>3393.36</v>
      </c>
      <c r="H1274">
        <f t="shared" si="39"/>
        <v>3</v>
      </c>
      <c r="I1274" s="6">
        <f t="shared" si="40"/>
        <v>1131.1200000000001</v>
      </c>
      <c r="L1274" s="19"/>
      <c r="O1274" s="2"/>
      <c r="P1274" s="3"/>
      <c r="Q1274" s="2"/>
      <c r="R1274" s="2"/>
      <c r="S1274" s="3"/>
      <c r="T1274" s="3"/>
      <c r="U1274" s="4"/>
      <c r="W1274" s="6"/>
    </row>
    <row r="1275" spans="1:23" ht="15" thickBot="1" x14ac:dyDescent="0.35">
      <c r="A1275" s="2">
        <v>18</v>
      </c>
      <c r="B1275" s="3" t="s">
        <v>15</v>
      </c>
      <c r="C1275" s="2">
        <v>35.6</v>
      </c>
      <c r="D1275" s="2">
        <v>0</v>
      </c>
      <c r="E1275" s="3" t="s">
        <v>16</v>
      </c>
      <c r="F1275" s="3" t="s">
        <v>9</v>
      </c>
      <c r="G1275" s="4">
        <v>2211.13</v>
      </c>
      <c r="H1275">
        <f t="shared" si="39"/>
        <v>1</v>
      </c>
      <c r="I1275" s="6">
        <f t="shared" si="40"/>
        <v>2211.13</v>
      </c>
      <c r="L1275" s="19"/>
      <c r="O1275" s="2"/>
      <c r="P1275" s="3"/>
      <c r="Q1275" s="2"/>
      <c r="R1275" s="2"/>
      <c r="S1275" s="3"/>
      <c r="T1275" s="3"/>
      <c r="U1275" s="4"/>
      <c r="W1275" s="6"/>
    </row>
    <row r="1276" spans="1:23" ht="15" thickBot="1" x14ac:dyDescent="0.35">
      <c r="A1276" s="2">
        <v>18</v>
      </c>
      <c r="B1276" s="3" t="s">
        <v>14</v>
      </c>
      <c r="C1276" s="2">
        <v>31.7</v>
      </c>
      <c r="D1276" s="2">
        <v>2</v>
      </c>
      <c r="E1276" s="3" t="s">
        <v>17</v>
      </c>
      <c r="F1276" s="3" t="s">
        <v>10</v>
      </c>
      <c r="G1276" s="4">
        <v>34303.17</v>
      </c>
      <c r="H1276">
        <f t="shared" si="39"/>
        <v>3</v>
      </c>
      <c r="I1276" s="6">
        <f t="shared" si="40"/>
        <v>11434.39</v>
      </c>
      <c r="L1276" s="19"/>
      <c r="O1276" s="2"/>
      <c r="P1276" s="3"/>
      <c r="Q1276" s="2"/>
      <c r="R1276" s="2"/>
      <c r="S1276" s="3"/>
      <c r="T1276" s="3"/>
      <c r="U1276" s="4"/>
      <c r="W1276" s="6"/>
    </row>
    <row r="1277" spans="1:23" ht="15" thickBot="1" x14ac:dyDescent="0.35">
      <c r="A1277" s="2">
        <v>18</v>
      </c>
      <c r="B1277" s="3" t="s">
        <v>15</v>
      </c>
      <c r="C1277" s="2">
        <v>30.1</v>
      </c>
      <c r="D1277" s="2">
        <v>0</v>
      </c>
      <c r="E1277" s="3" t="s">
        <v>16</v>
      </c>
      <c r="F1277" s="3" t="s">
        <v>9</v>
      </c>
      <c r="G1277" s="4">
        <v>21344.85</v>
      </c>
      <c r="H1277">
        <f t="shared" si="39"/>
        <v>1</v>
      </c>
      <c r="I1277" s="6">
        <f t="shared" si="40"/>
        <v>21344.85</v>
      </c>
      <c r="L1277" s="19"/>
      <c r="O1277" s="2"/>
      <c r="P1277" s="3"/>
      <c r="Q1277" s="2"/>
      <c r="R1277" s="2"/>
      <c r="S1277" s="3"/>
      <c r="T1277" s="3"/>
      <c r="U1277" s="4"/>
      <c r="W1277" s="6"/>
    </row>
    <row r="1278" spans="1:23" ht="15" thickBot="1" x14ac:dyDescent="0.35">
      <c r="A1278" s="2">
        <v>18</v>
      </c>
      <c r="B1278" s="3" t="s">
        <v>14</v>
      </c>
      <c r="C1278" s="2">
        <v>23.8</v>
      </c>
      <c r="D1278" s="2">
        <v>0</v>
      </c>
      <c r="E1278" s="3" t="s">
        <v>16</v>
      </c>
      <c r="F1278" s="3" t="s">
        <v>9</v>
      </c>
      <c r="G1278" s="4">
        <v>1705.62</v>
      </c>
      <c r="H1278">
        <f t="shared" si="39"/>
        <v>1</v>
      </c>
      <c r="I1278" s="6">
        <f t="shared" si="40"/>
        <v>1705.62</v>
      </c>
      <c r="L1278" s="19"/>
      <c r="O1278" s="2"/>
      <c r="P1278" s="3"/>
      <c r="Q1278" s="2"/>
      <c r="R1278" s="2"/>
      <c r="S1278" s="3"/>
      <c r="T1278" s="3"/>
      <c r="U1278" s="4"/>
      <c r="W1278" s="6"/>
    </row>
    <row r="1279" spans="1:23" ht="15" thickBot="1" x14ac:dyDescent="0.35">
      <c r="A1279" s="2">
        <v>18</v>
      </c>
      <c r="B1279" s="3" t="s">
        <v>14</v>
      </c>
      <c r="C1279" s="2">
        <v>25.2</v>
      </c>
      <c r="D1279" s="2">
        <v>0</v>
      </c>
      <c r="E1279" s="3" t="s">
        <v>17</v>
      </c>
      <c r="F1279" s="3" t="s">
        <v>9</v>
      </c>
      <c r="G1279" s="4">
        <v>15518.18</v>
      </c>
      <c r="H1279">
        <f t="shared" si="39"/>
        <v>1</v>
      </c>
      <c r="I1279" s="6">
        <f t="shared" si="40"/>
        <v>15518.18</v>
      </c>
      <c r="L1279" s="19"/>
      <c r="O1279" s="2"/>
      <c r="P1279" s="3"/>
      <c r="Q1279" s="2"/>
      <c r="R1279" s="2"/>
      <c r="S1279" s="3"/>
      <c r="T1279" s="3"/>
      <c r="U1279" s="4"/>
      <c r="W1279" s="6"/>
    </row>
    <row r="1280" spans="1:23" ht="15" thickBot="1" x14ac:dyDescent="0.35">
      <c r="A1280" s="2">
        <v>18</v>
      </c>
      <c r="B1280" s="3" t="s">
        <v>15</v>
      </c>
      <c r="C1280" s="2">
        <v>36.9</v>
      </c>
      <c r="D1280" s="2">
        <v>0</v>
      </c>
      <c r="E1280" s="3" t="s">
        <v>17</v>
      </c>
      <c r="F1280" s="3" t="s">
        <v>10</v>
      </c>
      <c r="G1280" s="4">
        <v>36149.480000000003</v>
      </c>
      <c r="H1280">
        <f t="shared" si="39"/>
        <v>1</v>
      </c>
      <c r="I1280" s="6">
        <f t="shared" si="40"/>
        <v>36149.480000000003</v>
      </c>
      <c r="L1280" s="19"/>
      <c r="O1280" s="2"/>
      <c r="P1280" s="3"/>
      <c r="Q1280" s="2"/>
      <c r="R1280" s="2"/>
      <c r="S1280" s="3"/>
      <c r="T1280" s="3"/>
      <c r="U1280" s="4"/>
      <c r="W1280" s="6"/>
    </row>
    <row r="1281" spans="1:23" ht="15" thickBot="1" x14ac:dyDescent="0.35">
      <c r="A1281" s="2">
        <v>18</v>
      </c>
      <c r="B1281" s="3" t="s">
        <v>14</v>
      </c>
      <c r="C1281" s="2">
        <v>16</v>
      </c>
      <c r="D1281" s="2">
        <v>0</v>
      </c>
      <c r="E1281" s="3" t="s">
        <v>16</v>
      </c>
      <c r="F1281" s="3" t="s">
        <v>9</v>
      </c>
      <c r="G1281" s="4">
        <v>1694.8</v>
      </c>
      <c r="H1281">
        <f t="shared" si="39"/>
        <v>1</v>
      </c>
      <c r="I1281" s="6">
        <f t="shared" si="40"/>
        <v>1694.8</v>
      </c>
      <c r="L1281" s="19"/>
      <c r="O1281" s="2"/>
      <c r="P1281" s="3"/>
      <c r="Q1281" s="2"/>
      <c r="R1281" s="2"/>
      <c r="S1281" s="3"/>
      <c r="T1281" s="3"/>
      <c r="U1281" s="4"/>
      <c r="W1281" s="6"/>
    </row>
    <row r="1282" spans="1:23" ht="15" thickBot="1" x14ac:dyDescent="0.35">
      <c r="A1282" s="2">
        <v>18</v>
      </c>
      <c r="B1282" s="3" t="s">
        <v>15</v>
      </c>
      <c r="C1282" s="2">
        <v>38.299999999999997</v>
      </c>
      <c r="D1282" s="2">
        <v>0</v>
      </c>
      <c r="E1282" s="3" t="s">
        <v>16</v>
      </c>
      <c r="F1282" s="3" t="s">
        <v>10</v>
      </c>
      <c r="G1282" s="4">
        <v>1631.82</v>
      </c>
      <c r="H1282">
        <f t="shared" si="39"/>
        <v>1</v>
      </c>
      <c r="I1282" s="6">
        <f t="shared" si="40"/>
        <v>1631.82</v>
      </c>
      <c r="L1282" s="19"/>
      <c r="O1282" s="2"/>
      <c r="P1282" s="3"/>
      <c r="Q1282" s="2"/>
      <c r="R1282" s="2"/>
      <c r="S1282" s="3"/>
      <c r="T1282" s="3"/>
      <c r="U1282" s="4"/>
      <c r="W1282" s="6"/>
    </row>
    <row r="1283" spans="1:23" ht="15" thickBot="1" x14ac:dyDescent="0.35">
      <c r="A1283" s="2">
        <v>18</v>
      </c>
      <c r="B1283" s="3" t="s">
        <v>14</v>
      </c>
      <c r="C1283" s="2">
        <v>34.4</v>
      </c>
      <c r="D1283" s="2">
        <v>0</v>
      </c>
      <c r="E1283" s="3" t="s">
        <v>16</v>
      </c>
      <c r="F1283" s="3" t="s">
        <v>10</v>
      </c>
      <c r="G1283" s="4">
        <v>1137.47</v>
      </c>
      <c r="H1283">
        <f t="shared" ref="H1283:H1339" si="41">D1283+1</f>
        <v>1</v>
      </c>
      <c r="I1283" s="6">
        <f t="shared" ref="I1283:I1339" si="42">G1283/H1283</f>
        <v>1137.47</v>
      </c>
      <c r="L1283" s="19"/>
      <c r="O1283" s="2"/>
      <c r="P1283" s="3"/>
      <c r="Q1283" s="2"/>
      <c r="R1283" s="2"/>
      <c r="S1283" s="3"/>
      <c r="T1283" s="3"/>
      <c r="U1283" s="4"/>
      <c r="W1283" s="6"/>
    </row>
    <row r="1284" spans="1:23" ht="15" thickBot="1" x14ac:dyDescent="0.35">
      <c r="A1284" s="2">
        <v>18</v>
      </c>
      <c r="B1284" s="3" t="s">
        <v>15</v>
      </c>
      <c r="C1284" s="2">
        <v>26.7</v>
      </c>
      <c r="D1284" s="2">
        <v>0</v>
      </c>
      <c r="E1284" s="3" t="s">
        <v>16</v>
      </c>
      <c r="F1284" s="3" t="s">
        <v>10</v>
      </c>
      <c r="G1284" s="4">
        <v>1615.77</v>
      </c>
      <c r="H1284">
        <f t="shared" si="41"/>
        <v>1</v>
      </c>
      <c r="I1284" s="6">
        <f t="shared" si="42"/>
        <v>1615.77</v>
      </c>
      <c r="L1284" s="19"/>
      <c r="O1284" s="2"/>
      <c r="P1284" s="3"/>
      <c r="Q1284" s="2"/>
      <c r="R1284" s="2"/>
      <c r="S1284" s="3"/>
      <c r="T1284" s="3"/>
      <c r="U1284" s="4"/>
      <c r="W1284" s="6"/>
    </row>
    <row r="1285" spans="1:23" ht="15" thickBot="1" x14ac:dyDescent="0.35">
      <c r="A1285" s="2">
        <v>18</v>
      </c>
      <c r="B1285" s="3" t="s">
        <v>14</v>
      </c>
      <c r="C1285" s="2">
        <v>17.3</v>
      </c>
      <c r="D1285" s="2">
        <v>2</v>
      </c>
      <c r="E1285" s="3" t="s">
        <v>17</v>
      </c>
      <c r="F1285" s="3" t="s">
        <v>9</v>
      </c>
      <c r="G1285" s="4">
        <v>12829.46</v>
      </c>
      <c r="H1285">
        <f t="shared" si="41"/>
        <v>3</v>
      </c>
      <c r="I1285" s="6">
        <f t="shared" si="42"/>
        <v>4276.4866666666667</v>
      </c>
      <c r="L1285" s="19"/>
      <c r="O1285" s="2"/>
      <c r="P1285" s="3"/>
      <c r="Q1285" s="2"/>
      <c r="R1285" s="2"/>
      <c r="S1285" s="3"/>
      <c r="T1285" s="3"/>
      <c r="U1285" s="4"/>
      <c r="W1285" s="6"/>
    </row>
    <row r="1286" spans="1:23" ht="15" thickBot="1" x14ac:dyDescent="0.35">
      <c r="A1286" s="2">
        <v>18</v>
      </c>
      <c r="B1286" s="3" t="s">
        <v>14</v>
      </c>
      <c r="C1286" s="2">
        <v>29.4</v>
      </c>
      <c r="D1286" s="2">
        <v>1</v>
      </c>
      <c r="E1286" s="3" t="s">
        <v>16</v>
      </c>
      <c r="F1286" s="3" t="s">
        <v>10</v>
      </c>
      <c r="G1286" s="4">
        <v>1719.44</v>
      </c>
      <c r="H1286">
        <f t="shared" si="41"/>
        <v>2</v>
      </c>
      <c r="I1286" s="6">
        <f t="shared" si="42"/>
        <v>859.72</v>
      </c>
      <c r="L1286" s="19"/>
      <c r="O1286" s="2"/>
      <c r="P1286" s="3"/>
      <c r="Q1286" s="2"/>
      <c r="R1286" s="2"/>
      <c r="S1286" s="3"/>
      <c r="T1286" s="3"/>
      <c r="U1286" s="4"/>
      <c r="W1286" s="6"/>
    </row>
    <row r="1287" spans="1:23" ht="15" thickBot="1" x14ac:dyDescent="0.35">
      <c r="A1287" s="2">
        <v>18</v>
      </c>
      <c r="B1287" s="3" t="s">
        <v>14</v>
      </c>
      <c r="C1287" s="2">
        <v>23</v>
      </c>
      <c r="D1287" s="2">
        <v>0</v>
      </c>
      <c r="E1287" s="3" t="s">
        <v>16</v>
      </c>
      <c r="F1287" s="3" t="s">
        <v>9</v>
      </c>
      <c r="G1287" s="4">
        <v>1704.57</v>
      </c>
      <c r="H1287">
        <f t="shared" si="41"/>
        <v>1</v>
      </c>
      <c r="I1287" s="6">
        <f t="shared" si="42"/>
        <v>1704.57</v>
      </c>
      <c r="L1287" s="19"/>
      <c r="O1287" s="2"/>
      <c r="P1287" s="3"/>
      <c r="Q1287" s="2"/>
      <c r="R1287" s="2"/>
      <c r="S1287" s="3"/>
      <c r="T1287" s="3"/>
      <c r="U1287" s="4"/>
      <c r="W1287" s="6"/>
    </row>
    <row r="1288" spans="1:23" ht="15" thickBot="1" x14ac:dyDescent="0.35">
      <c r="A1288" s="2">
        <v>18</v>
      </c>
      <c r="B1288" s="3" t="s">
        <v>15</v>
      </c>
      <c r="C1288" s="2">
        <v>38.299999999999997</v>
      </c>
      <c r="D1288" s="2">
        <v>0</v>
      </c>
      <c r="E1288" s="3" t="s">
        <v>16</v>
      </c>
      <c r="F1288" s="3" t="s">
        <v>10</v>
      </c>
      <c r="G1288" s="4">
        <v>14133.04</v>
      </c>
      <c r="H1288">
        <f t="shared" si="41"/>
        <v>1</v>
      </c>
      <c r="I1288" s="6">
        <f t="shared" si="42"/>
        <v>14133.04</v>
      </c>
      <c r="L1288" s="19"/>
      <c r="O1288" s="2"/>
      <c r="P1288" s="3"/>
      <c r="Q1288" s="2"/>
      <c r="R1288" s="2"/>
      <c r="S1288" s="3"/>
      <c r="T1288" s="3"/>
      <c r="U1288" s="4"/>
      <c r="W1288" s="6"/>
    </row>
    <row r="1289" spans="1:23" ht="15" thickBot="1" x14ac:dyDescent="0.35">
      <c r="A1289" s="2">
        <v>18</v>
      </c>
      <c r="B1289" s="3" t="s">
        <v>15</v>
      </c>
      <c r="C1289" s="2">
        <v>20.8</v>
      </c>
      <c r="D1289" s="2">
        <v>0</v>
      </c>
      <c r="E1289" s="3" t="s">
        <v>16</v>
      </c>
      <c r="F1289" s="3" t="s">
        <v>10</v>
      </c>
      <c r="G1289" s="4">
        <v>1607.51</v>
      </c>
      <c r="H1289">
        <f t="shared" si="41"/>
        <v>1</v>
      </c>
      <c r="I1289" s="6">
        <f t="shared" si="42"/>
        <v>1607.51</v>
      </c>
      <c r="L1289" s="19"/>
      <c r="O1289" s="2"/>
      <c r="P1289" s="3"/>
      <c r="Q1289" s="2"/>
      <c r="R1289" s="2"/>
      <c r="S1289" s="3"/>
      <c r="T1289" s="3"/>
      <c r="U1289" s="4"/>
      <c r="W1289" s="6"/>
    </row>
    <row r="1290" spans="1:23" ht="15" thickBot="1" x14ac:dyDescent="0.35">
      <c r="A1290" s="2">
        <v>18</v>
      </c>
      <c r="B1290" s="3" t="s">
        <v>14</v>
      </c>
      <c r="C1290" s="2">
        <v>30.4</v>
      </c>
      <c r="D1290" s="2">
        <v>3</v>
      </c>
      <c r="E1290" s="3" t="s">
        <v>16</v>
      </c>
      <c r="F1290" s="3" t="s">
        <v>9</v>
      </c>
      <c r="G1290" s="4">
        <v>3481.87</v>
      </c>
      <c r="H1290">
        <f t="shared" si="41"/>
        <v>4</v>
      </c>
      <c r="I1290" s="6">
        <f t="shared" si="42"/>
        <v>870.46749999999997</v>
      </c>
      <c r="L1290" s="19"/>
      <c r="O1290" s="2"/>
      <c r="P1290" s="3"/>
      <c r="Q1290" s="2"/>
      <c r="R1290" s="2"/>
      <c r="S1290" s="3"/>
      <c r="T1290" s="3"/>
      <c r="U1290" s="4"/>
      <c r="W1290" s="6"/>
    </row>
    <row r="1291" spans="1:23" ht="15" thickBot="1" x14ac:dyDescent="0.35">
      <c r="A1291" s="2">
        <v>18</v>
      </c>
      <c r="B1291" s="3" t="s">
        <v>15</v>
      </c>
      <c r="C1291" s="2">
        <v>38.200000000000003</v>
      </c>
      <c r="D1291" s="2">
        <v>0</v>
      </c>
      <c r="E1291" s="3" t="s">
        <v>16</v>
      </c>
      <c r="F1291" s="3" t="s">
        <v>10</v>
      </c>
      <c r="G1291" s="4">
        <v>1631.67</v>
      </c>
      <c r="H1291">
        <f t="shared" si="41"/>
        <v>1</v>
      </c>
      <c r="I1291" s="6">
        <f t="shared" si="42"/>
        <v>1631.67</v>
      </c>
      <c r="L1291" s="19"/>
      <c r="O1291" s="2"/>
      <c r="P1291" s="3"/>
      <c r="Q1291" s="2"/>
      <c r="R1291" s="2"/>
      <c r="S1291" s="3"/>
      <c r="T1291" s="3"/>
      <c r="U1291" s="4"/>
      <c r="W1291" s="6"/>
    </row>
    <row r="1292" spans="1:23" ht="15" thickBot="1" x14ac:dyDescent="0.35">
      <c r="A1292" s="2">
        <v>18</v>
      </c>
      <c r="B1292" s="3" t="s">
        <v>15</v>
      </c>
      <c r="C1292" s="2">
        <v>29.2</v>
      </c>
      <c r="D1292" s="2">
        <v>0</v>
      </c>
      <c r="E1292" s="3" t="s">
        <v>16</v>
      </c>
      <c r="F1292" s="3" t="s">
        <v>9</v>
      </c>
      <c r="G1292" s="4">
        <v>7323.73</v>
      </c>
      <c r="H1292">
        <f t="shared" si="41"/>
        <v>1</v>
      </c>
      <c r="I1292" s="6">
        <f t="shared" si="42"/>
        <v>7323.73</v>
      </c>
      <c r="L1292" s="19"/>
      <c r="O1292" s="2"/>
      <c r="P1292" s="3"/>
      <c r="Q1292" s="2"/>
      <c r="R1292" s="2"/>
      <c r="S1292" s="3"/>
      <c r="T1292" s="3"/>
      <c r="U1292" s="4"/>
      <c r="W1292" s="6"/>
    </row>
    <row r="1293" spans="1:23" ht="15" thickBot="1" x14ac:dyDescent="0.35">
      <c r="A1293" s="2">
        <v>18</v>
      </c>
      <c r="B1293" s="3" t="s">
        <v>14</v>
      </c>
      <c r="C1293" s="2">
        <v>43</v>
      </c>
      <c r="D1293" s="2">
        <v>0</v>
      </c>
      <c r="E1293" s="3" t="s">
        <v>16</v>
      </c>
      <c r="F1293" s="3" t="s">
        <v>10</v>
      </c>
      <c r="G1293" s="4">
        <v>1149.4000000000001</v>
      </c>
      <c r="H1293">
        <f t="shared" si="41"/>
        <v>1</v>
      </c>
      <c r="I1293" s="6">
        <f t="shared" si="42"/>
        <v>1149.4000000000001</v>
      </c>
      <c r="L1293" s="19"/>
      <c r="O1293" s="2"/>
      <c r="P1293" s="3"/>
      <c r="Q1293" s="2"/>
      <c r="R1293" s="2"/>
      <c r="S1293" s="3"/>
      <c r="T1293" s="3"/>
      <c r="U1293" s="4"/>
      <c r="W1293" s="6"/>
    </row>
    <row r="1294" spans="1:23" ht="15" thickBot="1" x14ac:dyDescent="0.35">
      <c r="A1294" s="2">
        <v>18</v>
      </c>
      <c r="B1294" s="3" t="s">
        <v>15</v>
      </c>
      <c r="C1294" s="2">
        <v>24.1</v>
      </c>
      <c r="D1294" s="2">
        <v>1</v>
      </c>
      <c r="E1294" s="3" t="s">
        <v>16</v>
      </c>
      <c r="F1294" s="3" t="s">
        <v>10</v>
      </c>
      <c r="G1294" s="4">
        <v>2201.1</v>
      </c>
      <c r="H1294">
        <f t="shared" si="41"/>
        <v>2</v>
      </c>
      <c r="I1294" s="6">
        <f t="shared" si="42"/>
        <v>1100.55</v>
      </c>
      <c r="L1294" s="19"/>
      <c r="O1294" s="2"/>
      <c r="P1294" s="3"/>
      <c r="Q1294" s="2"/>
      <c r="R1294" s="2"/>
      <c r="S1294" s="3"/>
      <c r="T1294" s="3"/>
      <c r="U1294" s="4"/>
      <c r="W1294" s="6"/>
    </row>
    <row r="1295" spans="1:23" ht="15" thickBot="1" x14ac:dyDescent="0.35">
      <c r="A1295" s="2">
        <v>18</v>
      </c>
      <c r="B1295" s="3" t="s">
        <v>15</v>
      </c>
      <c r="C1295" s="2">
        <v>30.1</v>
      </c>
      <c r="D1295" s="2">
        <v>0</v>
      </c>
      <c r="E1295" s="3" t="s">
        <v>16</v>
      </c>
      <c r="F1295" s="3" t="s">
        <v>9</v>
      </c>
      <c r="G1295" s="4">
        <v>2203.4699999999998</v>
      </c>
      <c r="H1295">
        <f t="shared" si="41"/>
        <v>1</v>
      </c>
      <c r="I1295" s="6">
        <f t="shared" si="42"/>
        <v>2203.4699999999998</v>
      </c>
      <c r="L1295" s="19"/>
      <c r="O1295" s="2"/>
      <c r="P1295" s="3"/>
      <c r="Q1295" s="2"/>
      <c r="R1295" s="2"/>
      <c r="S1295" s="3"/>
      <c r="T1295" s="3"/>
      <c r="U1295" s="4"/>
      <c r="W1295" s="6"/>
    </row>
    <row r="1296" spans="1:23" ht="15" thickBot="1" x14ac:dyDescent="0.35">
      <c r="A1296" s="2">
        <v>18</v>
      </c>
      <c r="B1296" s="3" t="s">
        <v>15</v>
      </c>
      <c r="C1296" s="2">
        <v>31.4</v>
      </c>
      <c r="D1296" s="2">
        <v>0</v>
      </c>
      <c r="E1296" s="3" t="s">
        <v>16</v>
      </c>
      <c r="F1296" s="3" t="s">
        <v>10</v>
      </c>
      <c r="G1296" s="4">
        <v>1622.19</v>
      </c>
      <c r="H1296">
        <f t="shared" si="41"/>
        <v>1</v>
      </c>
      <c r="I1296" s="6">
        <f t="shared" si="42"/>
        <v>1622.19</v>
      </c>
      <c r="L1296" s="19"/>
      <c r="O1296" s="2"/>
      <c r="P1296" s="3"/>
      <c r="Q1296" s="2"/>
      <c r="R1296" s="2"/>
      <c r="S1296" s="3"/>
      <c r="T1296" s="3"/>
      <c r="U1296" s="4"/>
      <c r="W1296" s="6"/>
    </row>
    <row r="1297" spans="1:23" ht="15" thickBot="1" x14ac:dyDescent="0.35">
      <c r="A1297" s="2">
        <v>18</v>
      </c>
      <c r="B1297" s="3" t="s">
        <v>15</v>
      </c>
      <c r="C1297" s="2">
        <v>25.1</v>
      </c>
      <c r="D1297" s="2">
        <v>0</v>
      </c>
      <c r="E1297" s="3" t="s">
        <v>16</v>
      </c>
      <c r="F1297" s="3" t="s">
        <v>9</v>
      </c>
      <c r="G1297" s="4">
        <v>2196.4699999999998</v>
      </c>
      <c r="H1297">
        <f t="shared" si="41"/>
        <v>1</v>
      </c>
      <c r="I1297" s="6">
        <f t="shared" si="42"/>
        <v>2196.4699999999998</v>
      </c>
      <c r="L1297" s="19"/>
      <c r="O1297" s="2"/>
      <c r="P1297" s="3"/>
      <c r="Q1297" s="2"/>
      <c r="R1297" s="2"/>
      <c r="S1297" s="3"/>
      <c r="T1297" s="3"/>
      <c r="U1297" s="4"/>
      <c r="W1297" s="6"/>
    </row>
    <row r="1298" spans="1:23" ht="15" thickBot="1" x14ac:dyDescent="0.35">
      <c r="A1298" s="2">
        <v>18</v>
      </c>
      <c r="B1298" s="3" t="s">
        <v>15</v>
      </c>
      <c r="C1298" s="2">
        <v>33.9</v>
      </c>
      <c r="D1298" s="2">
        <v>0</v>
      </c>
      <c r="E1298" s="3" t="s">
        <v>16</v>
      </c>
      <c r="F1298" s="3" t="s">
        <v>10</v>
      </c>
      <c r="G1298" s="4">
        <v>11482.63</v>
      </c>
      <c r="H1298">
        <f t="shared" si="41"/>
        <v>1</v>
      </c>
      <c r="I1298" s="6">
        <f t="shared" si="42"/>
        <v>11482.63</v>
      </c>
      <c r="L1298" s="19"/>
      <c r="O1298" s="2"/>
      <c r="P1298" s="3"/>
      <c r="Q1298" s="2"/>
      <c r="R1298" s="2"/>
      <c r="S1298" s="3"/>
      <c r="T1298" s="3"/>
      <c r="U1298" s="4"/>
      <c r="W1298" s="6"/>
    </row>
    <row r="1299" spans="1:23" ht="15" thickBot="1" x14ac:dyDescent="0.35">
      <c r="A1299" s="2">
        <v>18</v>
      </c>
      <c r="B1299" s="3" t="s">
        <v>14</v>
      </c>
      <c r="C1299" s="2">
        <v>25.5</v>
      </c>
      <c r="D1299" s="2">
        <v>0</v>
      </c>
      <c r="E1299" s="3" t="s">
        <v>16</v>
      </c>
      <c r="F1299" s="3" t="s">
        <v>9</v>
      </c>
      <c r="G1299" s="4">
        <v>1708</v>
      </c>
      <c r="H1299">
        <f t="shared" si="41"/>
        <v>1</v>
      </c>
      <c r="I1299" s="6">
        <f t="shared" si="42"/>
        <v>1708</v>
      </c>
      <c r="L1299" s="19"/>
      <c r="O1299" s="2"/>
      <c r="P1299" s="3"/>
      <c r="Q1299" s="2"/>
      <c r="R1299" s="2"/>
      <c r="S1299" s="3"/>
      <c r="T1299" s="3"/>
      <c r="U1299" s="4"/>
      <c r="W1299" s="6"/>
    </row>
    <row r="1300" spans="1:23" ht="15" thickBot="1" x14ac:dyDescent="0.35">
      <c r="A1300" s="2">
        <v>18</v>
      </c>
      <c r="B1300" s="3" t="s">
        <v>15</v>
      </c>
      <c r="C1300" s="2">
        <v>32.1</v>
      </c>
      <c r="D1300" s="2">
        <v>2</v>
      </c>
      <c r="E1300" s="3" t="s">
        <v>16</v>
      </c>
      <c r="F1300" s="3" t="s">
        <v>10</v>
      </c>
      <c r="G1300" s="4">
        <v>2801.26</v>
      </c>
      <c r="H1300">
        <f t="shared" si="41"/>
        <v>3</v>
      </c>
      <c r="I1300" s="6">
        <f t="shared" si="42"/>
        <v>933.75333333333344</v>
      </c>
      <c r="L1300" s="19"/>
      <c r="O1300" s="2"/>
      <c r="P1300" s="3"/>
      <c r="Q1300" s="2"/>
      <c r="R1300" s="2"/>
      <c r="S1300" s="3"/>
      <c r="T1300" s="3"/>
      <c r="U1300" s="4"/>
      <c r="W1300" s="6"/>
    </row>
    <row r="1301" spans="1:23" ht="15" thickBot="1" x14ac:dyDescent="0.35">
      <c r="A1301" s="2">
        <v>18</v>
      </c>
      <c r="B1301" s="3" t="s">
        <v>15</v>
      </c>
      <c r="C1301" s="2">
        <v>37.299999999999997</v>
      </c>
      <c r="D1301" s="2">
        <v>1</v>
      </c>
      <c r="E1301" s="3" t="s">
        <v>16</v>
      </c>
      <c r="F1301" s="3" t="s">
        <v>10</v>
      </c>
      <c r="G1301" s="4">
        <v>2219.4499999999998</v>
      </c>
      <c r="H1301">
        <f t="shared" si="41"/>
        <v>2</v>
      </c>
      <c r="I1301" s="6">
        <f t="shared" si="42"/>
        <v>1109.7249999999999</v>
      </c>
      <c r="L1301" s="19"/>
      <c r="O1301" s="2"/>
      <c r="P1301" s="3"/>
      <c r="Q1301" s="2"/>
      <c r="R1301" s="2"/>
      <c r="S1301" s="3"/>
      <c r="T1301" s="3"/>
      <c r="U1301" s="4"/>
      <c r="W1301" s="6"/>
    </row>
    <row r="1302" spans="1:23" ht="15" thickBot="1" x14ac:dyDescent="0.35">
      <c r="A1302" s="2">
        <v>18</v>
      </c>
      <c r="B1302" s="3" t="s">
        <v>15</v>
      </c>
      <c r="C1302" s="2">
        <v>39.200000000000003</v>
      </c>
      <c r="D1302" s="2">
        <v>0</v>
      </c>
      <c r="E1302" s="3" t="s">
        <v>16</v>
      </c>
      <c r="F1302" s="3" t="s">
        <v>10</v>
      </c>
      <c r="G1302" s="4">
        <v>1633.04</v>
      </c>
      <c r="H1302">
        <f t="shared" si="41"/>
        <v>1</v>
      </c>
      <c r="I1302" s="6">
        <f t="shared" si="42"/>
        <v>1633.04</v>
      </c>
      <c r="L1302" s="19"/>
      <c r="O1302" s="2"/>
      <c r="P1302" s="3"/>
      <c r="Q1302" s="2"/>
      <c r="R1302" s="2"/>
      <c r="S1302" s="3"/>
      <c r="T1302" s="3"/>
      <c r="U1302" s="4"/>
      <c r="W1302" s="6"/>
    </row>
    <row r="1303" spans="1:23" ht="15" thickBot="1" x14ac:dyDescent="0.35">
      <c r="A1303" s="2">
        <v>18</v>
      </c>
      <c r="B1303" s="3" t="s">
        <v>15</v>
      </c>
      <c r="C1303" s="2">
        <v>33.200000000000003</v>
      </c>
      <c r="D1303" s="2">
        <v>0</v>
      </c>
      <c r="E1303" s="3" t="s">
        <v>16</v>
      </c>
      <c r="F1303" s="3" t="s">
        <v>9</v>
      </c>
      <c r="G1303" s="4">
        <v>2207.6999999999998</v>
      </c>
      <c r="H1303">
        <f t="shared" si="41"/>
        <v>1</v>
      </c>
      <c r="I1303" s="6">
        <f t="shared" si="42"/>
        <v>2207.6999999999998</v>
      </c>
      <c r="L1303" s="19"/>
      <c r="O1303" s="2"/>
      <c r="P1303" s="3"/>
      <c r="Q1303" s="2"/>
      <c r="R1303" s="2"/>
      <c r="S1303" s="3"/>
      <c r="T1303" s="3"/>
      <c r="U1303" s="4"/>
      <c r="W1303" s="6"/>
    </row>
    <row r="1304" spans="1:23" ht="15" thickBot="1" x14ac:dyDescent="0.35">
      <c r="A1304" s="2">
        <v>18</v>
      </c>
      <c r="B1304" s="3" t="s">
        <v>14</v>
      </c>
      <c r="C1304" s="2">
        <v>33.5</v>
      </c>
      <c r="D1304" s="2">
        <v>0</v>
      </c>
      <c r="E1304" s="3" t="s">
        <v>17</v>
      </c>
      <c r="F1304" s="3" t="s">
        <v>9</v>
      </c>
      <c r="G1304" s="4">
        <v>34617.839999999997</v>
      </c>
      <c r="H1304">
        <f t="shared" si="41"/>
        <v>1</v>
      </c>
      <c r="I1304" s="6">
        <f t="shared" si="42"/>
        <v>34617.839999999997</v>
      </c>
      <c r="L1304" s="19"/>
      <c r="O1304" s="2"/>
      <c r="P1304" s="3"/>
      <c r="Q1304" s="2"/>
      <c r="R1304" s="2"/>
      <c r="S1304" s="3"/>
      <c r="T1304" s="3"/>
      <c r="U1304" s="4"/>
      <c r="W1304" s="6"/>
    </row>
    <row r="1305" spans="1:23" ht="15" thickBot="1" x14ac:dyDescent="0.35">
      <c r="A1305" s="2">
        <v>18</v>
      </c>
      <c r="B1305" s="3" t="s">
        <v>14</v>
      </c>
      <c r="C1305" s="2">
        <v>28.5</v>
      </c>
      <c r="D1305" s="2">
        <v>0</v>
      </c>
      <c r="E1305" s="3" t="s">
        <v>16</v>
      </c>
      <c r="F1305" s="3" t="s">
        <v>9</v>
      </c>
      <c r="G1305" s="4">
        <v>1712.23</v>
      </c>
      <c r="H1305">
        <f t="shared" si="41"/>
        <v>1</v>
      </c>
      <c r="I1305" s="6">
        <f t="shared" si="42"/>
        <v>1712.23</v>
      </c>
      <c r="L1305" s="19"/>
      <c r="O1305" s="2"/>
      <c r="P1305" s="3"/>
      <c r="Q1305" s="2"/>
      <c r="R1305" s="2"/>
      <c r="S1305" s="3"/>
      <c r="T1305" s="3"/>
      <c r="U1305" s="4"/>
      <c r="W1305" s="6"/>
    </row>
    <row r="1306" spans="1:23" ht="15" thickBot="1" x14ac:dyDescent="0.35">
      <c r="A1306" s="2">
        <v>18</v>
      </c>
      <c r="B1306" s="3" t="s">
        <v>14</v>
      </c>
      <c r="C1306" s="2">
        <v>33.700000000000003</v>
      </c>
      <c r="D1306" s="2">
        <v>0</v>
      </c>
      <c r="E1306" s="3" t="s">
        <v>16</v>
      </c>
      <c r="F1306" s="3" t="s">
        <v>10</v>
      </c>
      <c r="G1306" s="4">
        <v>1136.4000000000001</v>
      </c>
      <c r="H1306">
        <f t="shared" si="41"/>
        <v>1</v>
      </c>
      <c r="I1306" s="6">
        <f t="shared" si="42"/>
        <v>1136.4000000000001</v>
      </c>
      <c r="L1306" s="19"/>
      <c r="O1306" s="2"/>
      <c r="P1306" s="3"/>
      <c r="Q1306" s="2"/>
      <c r="R1306" s="2"/>
      <c r="S1306" s="3"/>
      <c r="T1306" s="3"/>
      <c r="U1306" s="4"/>
      <c r="W1306" s="6"/>
    </row>
    <row r="1307" spans="1:23" ht="15" thickBot="1" x14ac:dyDescent="0.35">
      <c r="A1307" s="2">
        <v>18</v>
      </c>
      <c r="B1307" s="3" t="s">
        <v>14</v>
      </c>
      <c r="C1307" s="2">
        <v>35.200000000000003</v>
      </c>
      <c r="D1307" s="2">
        <v>1</v>
      </c>
      <c r="E1307" s="3" t="s">
        <v>16</v>
      </c>
      <c r="F1307" s="3" t="s">
        <v>10</v>
      </c>
      <c r="G1307" s="4">
        <v>1727.54</v>
      </c>
      <c r="H1307">
        <f t="shared" si="41"/>
        <v>2</v>
      </c>
      <c r="I1307" s="6">
        <f t="shared" si="42"/>
        <v>863.77</v>
      </c>
      <c r="L1307" s="19"/>
      <c r="O1307" s="2"/>
      <c r="P1307" s="3"/>
      <c r="Q1307" s="2"/>
      <c r="R1307" s="2"/>
      <c r="S1307" s="3"/>
      <c r="T1307" s="3"/>
      <c r="U1307" s="4"/>
      <c r="W1307" s="6"/>
    </row>
    <row r="1308" spans="1:23" ht="15" thickBot="1" x14ac:dyDescent="0.35">
      <c r="A1308" s="2">
        <v>18</v>
      </c>
      <c r="B1308" s="3" t="s">
        <v>15</v>
      </c>
      <c r="C1308" s="2">
        <v>40.299999999999997</v>
      </c>
      <c r="D1308" s="2">
        <v>0</v>
      </c>
      <c r="E1308" s="3" t="s">
        <v>16</v>
      </c>
      <c r="F1308" s="3" t="s">
        <v>9</v>
      </c>
      <c r="G1308" s="4">
        <v>2217.6</v>
      </c>
      <c r="H1308">
        <f t="shared" si="41"/>
        <v>1</v>
      </c>
      <c r="I1308" s="6">
        <f t="shared" si="42"/>
        <v>2217.6</v>
      </c>
      <c r="L1308" s="19"/>
      <c r="O1308" s="2"/>
      <c r="P1308" s="3"/>
      <c r="Q1308" s="2"/>
      <c r="R1308" s="2"/>
      <c r="S1308" s="3"/>
      <c r="T1308" s="3"/>
      <c r="U1308" s="4"/>
      <c r="W1308" s="6"/>
    </row>
    <row r="1309" spans="1:23" ht="15" thickBot="1" x14ac:dyDescent="0.35">
      <c r="A1309" s="2">
        <v>18</v>
      </c>
      <c r="B1309" s="3" t="s">
        <v>14</v>
      </c>
      <c r="C1309" s="2">
        <v>38.200000000000003</v>
      </c>
      <c r="D1309" s="2">
        <v>0</v>
      </c>
      <c r="E1309" s="3" t="s">
        <v>17</v>
      </c>
      <c r="F1309" s="3" t="s">
        <v>10</v>
      </c>
      <c r="G1309" s="4">
        <v>36307.800000000003</v>
      </c>
      <c r="H1309">
        <f t="shared" si="41"/>
        <v>1</v>
      </c>
      <c r="I1309" s="6">
        <f t="shared" si="42"/>
        <v>36307.800000000003</v>
      </c>
      <c r="L1309" s="19"/>
      <c r="O1309" s="2"/>
      <c r="P1309" s="3"/>
      <c r="Q1309" s="2"/>
      <c r="R1309" s="2"/>
      <c r="S1309" s="3"/>
      <c r="T1309" s="3"/>
      <c r="U1309" s="4"/>
      <c r="W1309" s="6"/>
    </row>
    <row r="1310" spans="1:23" ht="15" thickBot="1" x14ac:dyDescent="0.35">
      <c r="A1310" s="2">
        <v>18</v>
      </c>
      <c r="B1310" s="3" t="s">
        <v>14</v>
      </c>
      <c r="C1310" s="2">
        <v>41.1</v>
      </c>
      <c r="D1310" s="2">
        <v>0</v>
      </c>
      <c r="E1310" s="3" t="s">
        <v>16</v>
      </c>
      <c r="F1310" s="3" t="s">
        <v>10</v>
      </c>
      <c r="G1310" s="4">
        <v>1146.8</v>
      </c>
      <c r="H1310">
        <f t="shared" si="41"/>
        <v>1</v>
      </c>
      <c r="I1310" s="6">
        <f t="shared" si="42"/>
        <v>1146.8</v>
      </c>
      <c r="L1310" s="19"/>
      <c r="O1310" s="2"/>
      <c r="P1310" s="3"/>
      <c r="Q1310" s="2"/>
      <c r="R1310" s="2"/>
      <c r="S1310" s="3"/>
      <c r="T1310" s="3"/>
      <c r="U1310" s="4"/>
      <c r="W1310" s="6"/>
    </row>
    <row r="1311" spans="1:23" ht="15" thickBot="1" x14ac:dyDescent="0.35">
      <c r="A1311" s="2">
        <v>18</v>
      </c>
      <c r="B1311" s="3" t="s">
        <v>15</v>
      </c>
      <c r="C1311" s="2">
        <v>42.2</v>
      </c>
      <c r="D1311" s="2">
        <v>0</v>
      </c>
      <c r="E1311" s="3" t="s">
        <v>17</v>
      </c>
      <c r="F1311" s="3" t="s">
        <v>10</v>
      </c>
      <c r="G1311" s="4">
        <v>38792.69</v>
      </c>
      <c r="H1311">
        <f t="shared" si="41"/>
        <v>1</v>
      </c>
      <c r="I1311" s="6">
        <f t="shared" si="42"/>
        <v>38792.69</v>
      </c>
      <c r="L1311" s="19"/>
      <c r="O1311" s="2"/>
      <c r="P1311" s="3"/>
      <c r="Q1311" s="2"/>
      <c r="R1311" s="2"/>
      <c r="S1311" s="3"/>
      <c r="T1311" s="3"/>
      <c r="U1311" s="4"/>
      <c r="W1311" s="6"/>
    </row>
    <row r="1312" spans="1:23" ht="15" thickBot="1" x14ac:dyDescent="0.35">
      <c r="A1312" s="2">
        <v>18</v>
      </c>
      <c r="B1312" s="3" t="s">
        <v>14</v>
      </c>
      <c r="C1312" s="2">
        <v>30.1</v>
      </c>
      <c r="D1312" s="2">
        <v>0</v>
      </c>
      <c r="E1312" s="3" t="s">
        <v>16</v>
      </c>
      <c r="F1312" s="3" t="s">
        <v>10</v>
      </c>
      <c r="G1312" s="4">
        <v>1131.51</v>
      </c>
      <c r="H1312">
        <f t="shared" si="41"/>
        <v>1</v>
      </c>
      <c r="I1312" s="6">
        <f t="shared" si="42"/>
        <v>1131.51</v>
      </c>
      <c r="L1312" s="19"/>
      <c r="O1312" s="2"/>
      <c r="P1312" s="3"/>
      <c r="Q1312" s="2"/>
      <c r="R1312" s="2"/>
      <c r="S1312" s="3"/>
      <c r="T1312" s="3"/>
      <c r="U1312" s="4"/>
      <c r="W1312" s="6"/>
    </row>
    <row r="1313" spans="1:23" ht="15" thickBot="1" x14ac:dyDescent="0.35">
      <c r="A1313" s="2">
        <v>18</v>
      </c>
      <c r="B1313" s="3" t="s">
        <v>15</v>
      </c>
      <c r="C1313" s="2">
        <v>31.1</v>
      </c>
      <c r="D1313" s="2">
        <v>0</v>
      </c>
      <c r="E1313" s="3" t="s">
        <v>16</v>
      </c>
      <c r="F1313" s="3" t="s">
        <v>10</v>
      </c>
      <c r="G1313" s="4">
        <v>1621.88</v>
      </c>
      <c r="H1313">
        <f t="shared" si="41"/>
        <v>1</v>
      </c>
      <c r="I1313" s="6">
        <f t="shared" si="42"/>
        <v>1621.88</v>
      </c>
      <c r="L1313" s="19"/>
      <c r="O1313" s="2"/>
      <c r="P1313" s="3"/>
      <c r="Q1313" s="2"/>
      <c r="R1313" s="2"/>
      <c r="S1313" s="3"/>
      <c r="T1313" s="3"/>
      <c r="U1313" s="4"/>
      <c r="W1313" s="6"/>
    </row>
    <row r="1314" spans="1:23" ht="15" thickBot="1" x14ac:dyDescent="0.35">
      <c r="A1314" s="2">
        <v>18</v>
      </c>
      <c r="B1314" s="3" t="s">
        <v>14</v>
      </c>
      <c r="C1314" s="2">
        <v>37.299999999999997</v>
      </c>
      <c r="D1314" s="2">
        <v>0</v>
      </c>
      <c r="E1314" s="3" t="s">
        <v>16</v>
      </c>
      <c r="F1314" s="3" t="s">
        <v>10</v>
      </c>
      <c r="G1314" s="4">
        <v>1141.45</v>
      </c>
      <c r="H1314">
        <f t="shared" si="41"/>
        <v>1</v>
      </c>
      <c r="I1314" s="6">
        <f t="shared" si="42"/>
        <v>1141.45</v>
      </c>
      <c r="L1314" s="19"/>
      <c r="O1314" s="2"/>
      <c r="P1314" s="3"/>
      <c r="Q1314" s="2"/>
      <c r="R1314" s="2"/>
      <c r="S1314" s="3"/>
      <c r="T1314" s="3"/>
      <c r="U1314" s="4"/>
      <c r="W1314" s="6"/>
    </row>
    <row r="1315" spans="1:23" ht="15" thickBot="1" x14ac:dyDescent="0.35">
      <c r="A1315" s="2">
        <v>18</v>
      </c>
      <c r="B1315" s="3" t="s">
        <v>15</v>
      </c>
      <c r="C1315" s="2">
        <v>40.299999999999997</v>
      </c>
      <c r="D1315" s="2">
        <v>0</v>
      </c>
      <c r="E1315" s="3" t="s">
        <v>16</v>
      </c>
      <c r="F1315" s="3" t="s">
        <v>10</v>
      </c>
      <c r="G1315" s="4">
        <v>1634.57</v>
      </c>
      <c r="H1315">
        <f t="shared" si="41"/>
        <v>1</v>
      </c>
      <c r="I1315" s="6">
        <f t="shared" si="42"/>
        <v>1634.57</v>
      </c>
      <c r="L1315" s="19"/>
      <c r="O1315" s="2"/>
      <c r="P1315" s="3"/>
      <c r="Q1315" s="2"/>
      <c r="R1315" s="2"/>
      <c r="S1315" s="3"/>
      <c r="T1315" s="3"/>
      <c r="U1315" s="4"/>
      <c r="W1315" s="6"/>
    </row>
    <row r="1316" spans="1:23" ht="15" thickBot="1" x14ac:dyDescent="0.35">
      <c r="A1316" s="2">
        <v>18</v>
      </c>
      <c r="B1316" s="3" t="s">
        <v>14</v>
      </c>
      <c r="C1316" s="2">
        <v>31.7</v>
      </c>
      <c r="D1316" s="2">
        <v>0</v>
      </c>
      <c r="E1316" s="3" t="s">
        <v>17</v>
      </c>
      <c r="F1316" s="3" t="s">
        <v>9</v>
      </c>
      <c r="G1316" s="4">
        <v>33732.69</v>
      </c>
      <c r="H1316">
        <f t="shared" si="41"/>
        <v>1</v>
      </c>
      <c r="I1316" s="6">
        <f t="shared" si="42"/>
        <v>33732.69</v>
      </c>
      <c r="L1316" s="19"/>
      <c r="O1316" s="2"/>
      <c r="P1316" s="3"/>
      <c r="Q1316" s="2"/>
      <c r="R1316" s="2"/>
      <c r="S1316" s="3"/>
      <c r="T1316" s="3"/>
      <c r="U1316" s="4"/>
      <c r="W1316" s="6"/>
    </row>
    <row r="1317" spans="1:23" ht="15" thickBot="1" x14ac:dyDescent="0.35">
      <c r="A1317" s="2">
        <v>18</v>
      </c>
      <c r="B1317" s="3" t="s">
        <v>14</v>
      </c>
      <c r="C1317" s="2">
        <v>26.2</v>
      </c>
      <c r="D1317" s="2">
        <v>2</v>
      </c>
      <c r="E1317" s="3" t="s">
        <v>16</v>
      </c>
      <c r="F1317" s="3" t="s">
        <v>10</v>
      </c>
      <c r="G1317" s="4">
        <v>2304</v>
      </c>
      <c r="H1317">
        <f t="shared" si="41"/>
        <v>3</v>
      </c>
      <c r="I1317" s="6">
        <f t="shared" si="42"/>
        <v>768</v>
      </c>
      <c r="L1317" s="19"/>
      <c r="O1317" s="2"/>
      <c r="P1317" s="3"/>
      <c r="Q1317" s="2"/>
      <c r="R1317" s="2"/>
      <c r="S1317" s="3"/>
      <c r="T1317" s="3"/>
      <c r="U1317" s="4"/>
      <c r="W1317" s="6"/>
    </row>
    <row r="1318" spans="1:23" ht="15" thickBot="1" x14ac:dyDescent="0.35">
      <c r="A1318" s="2">
        <v>18</v>
      </c>
      <c r="B1318" s="3" t="s">
        <v>14</v>
      </c>
      <c r="C1318" s="2">
        <v>23.2</v>
      </c>
      <c r="D1318" s="2">
        <v>0</v>
      </c>
      <c r="E1318" s="3" t="s">
        <v>16</v>
      </c>
      <c r="F1318" s="3" t="s">
        <v>10</v>
      </c>
      <c r="G1318" s="4">
        <v>1121.8699999999999</v>
      </c>
      <c r="H1318">
        <f t="shared" si="41"/>
        <v>1</v>
      </c>
      <c r="I1318" s="6">
        <f t="shared" si="42"/>
        <v>1121.8699999999999</v>
      </c>
      <c r="L1318" s="19"/>
      <c r="O1318" s="2"/>
      <c r="P1318" s="3"/>
      <c r="Q1318" s="2"/>
      <c r="R1318" s="2"/>
      <c r="S1318" s="3"/>
      <c r="T1318" s="3"/>
      <c r="U1318" s="4"/>
      <c r="W1318" s="6"/>
    </row>
    <row r="1319" spans="1:23" ht="15" thickBot="1" x14ac:dyDescent="0.35">
      <c r="A1319" s="2">
        <v>18</v>
      </c>
      <c r="B1319" s="3" t="s">
        <v>15</v>
      </c>
      <c r="C1319" s="2">
        <v>40.200000000000003</v>
      </c>
      <c r="D1319" s="2">
        <v>0</v>
      </c>
      <c r="E1319" s="3" t="s">
        <v>16</v>
      </c>
      <c r="F1319" s="3" t="s">
        <v>9</v>
      </c>
      <c r="G1319" s="4">
        <v>2217.4699999999998</v>
      </c>
      <c r="H1319">
        <f t="shared" si="41"/>
        <v>1</v>
      </c>
      <c r="I1319" s="6">
        <f t="shared" si="42"/>
        <v>2217.4699999999998</v>
      </c>
      <c r="L1319" s="19"/>
      <c r="O1319" s="2"/>
      <c r="P1319" s="3"/>
      <c r="Q1319" s="2"/>
      <c r="R1319" s="2"/>
      <c r="S1319" s="3"/>
      <c r="T1319" s="3"/>
      <c r="U1319" s="4"/>
      <c r="W1319" s="6"/>
    </row>
    <row r="1320" spans="1:23" ht="15" thickBot="1" x14ac:dyDescent="0.35">
      <c r="A1320" s="2">
        <v>18</v>
      </c>
      <c r="B1320" s="3" t="s">
        <v>14</v>
      </c>
      <c r="C1320" s="2">
        <v>23.3</v>
      </c>
      <c r="D1320" s="2">
        <v>1</v>
      </c>
      <c r="E1320" s="3" t="s">
        <v>16</v>
      </c>
      <c r="F1320" s="3" t="s">
        <v>10</v>
      </c>
      <c r="G1320" s="4">
        <v>1711.03</v>
      </c>
      <c r="H1320">
        <f t="shared" si="41"/>
        <v>2</v>
      </c>
      <c r="I1320" s="6">
        <f t="shared" si="42"/>
        <v>855.51499999999999</v>
      </c>
      <c r="L1320" s="19"/>
      <c r="O1320" s="2"/>
      <c r="P1320" s="3"/>
      <c r="Q1320" s="2"/>
      <c r="R1320" s="2"/>
      <c r="S1320" s="3"/>
      <c r="T1320" s="3"/>
      <c r="U1320" s="4"/>
      <c r="W1320" s="6"/>
    </row>
    <row r="1321" spans="1:23" ht="15" thickBot="1" x14ac:dyDescent="0.35">
      <c r="A1321" s="2">
        <v>18</v>
      </c>
      <c r="B1321" s="3" t="s">
        <v>14</v>
      </c>
      <c r="C1321" s="2">
        <v>21.6</v>
      </c>
      <c r="D1321" s="2">
        <v>0</v>
      </c>
      <c r="E1321" s="3" t="s">
        <v>17</v>
      </c>
      <c r="F1321" s="3" t="s">
        <v>9</v>
      </c>
      <c r="G1321" s="4">
        <v>13747.87</v>
      </c>
      <c r="H1321">
        <f t="shared" si="41"/>
        <v>1</v>
      </c>
      <c r="I1321" s="6">
        <f t="shared" si="42"/>
        <v>13747.87</v>
      </c>
      <c r="L1321" s="19"/>
      <c r="O1321" s="2"/>
      <c r="P1321" s="3"/>
      <c r="Q1321" s="2"/>
      <c r="R1321" s="2"/>
      <c r="S1321" s="3"/>
      <c r="T1321" s="3"/>
      <c r="U1321" s="4"/>
      <c r="W1321" s="6"/>
    </row>
    <row r="1322" spans="1:23" ht="15" thickBot="1" x14ac:dyDescent="0.35">
      <c r="A1322" s="2">
        <v>18</v>
      </c>
      <c r="B1322" s="3" t="s">
        <v>14</v>
      </c>
      <c r="C1322" s="2">
        <v>23.1</v>
      </c>
      <c r="D1322" s="2">
        <v>0</v>
      </c>
      <c r="E1322" s="3" t="s">
        <v>16</v>
      </c>
      <c r="F1322" s="3" t="s">
        <v>9</v>
      </c>
      <c r="G1322" s="4">
        <v>1704.7</v>
      </c>
      <c r="H1322">
        <f t="shared" si="41"/>
        <v>1</v>
      </c>
      <c r="I1322" s="6">
        <f t="shared" si="42"/>
        <v>1704.7</v>
      </c>
      <c r="L1322" s="19"/>
      <c r="O1322" s="2"/>
      <c r="P1322" s="3"/>
      <c r="Q1322" s="2"/>
      <c r="R1322" s="2"/>
      <c r="S1322" s="3"/>
      <c r="T1322" s="3"/>
      <c r="U1322" s="4"/>
      <c r="W1322" s="6"/>
    </row>
    <row r="1323" spans="1:23" ht="15" thickBot="1" x14ac:dyDescent="0.35">
      <c r="A1323" s="2">
        <v>18</v>
      </c>
      <c r="B1323" s="3" t="s">
        <v>14</v>
      </c>
      <c r="C1323" s="2">
        <v>21.8</v>
      </c>
      <c r="D1323" s="2">
        <v>2</v>
      </c>
      <c r="E1323" s="3" t="s">
        <v>16</v>
      </c>
      <c r="F1323" s="3" t="s">
        <v>10</v>
      </c>
      <c r="G1323" s="4">
        <v>11884.05</v>
      </c>
      <c r="H1323">
        <f t="shared" si="41"/>
        <v>3</v>
      </c>
      <c r="I1323" s="6">
        <f t="shared" si="42"/>
        <v>3961.35</v>
      </c>
      <c r="L1323" s="19"/>
      <c r="O1323" s="2"/>
      <c r="P1323" s="3"/>
      <c r="Q1323" s="2"/>
      <c r="R1323" s="2"/>
      <c r="S1323" s="3"/>
      <c r="T1323" s="3"/>
      <c r="U1323" s="4"/>
      <c r="W1323" s="6"/>
    </row>
    <row r="1324" spans="1:23" ht="15" thickBot="1" x14ac:dyDescent="0.35">
      <c r="A1324" s="2">
        <v>18</v>
      </c>
      <c r="B1324" s="3" t="s">
        <v>15</v>
      </c>
      <c r="C1324" s="2">
        <v>31.4</v>
      </c>
      <c r="D1324" s="2">
        <v>4</v>
      </c>
      <c r="E1324" s="3" t="s">
        <v>16</v>
      </c>
      <c r="F1324" s="3" t="s">
        <v>9</v>
      </c>
      <c r="G1324" s="4">
        <v>4561.1899999999996</v>
      </c>
      <c r="H1324">
        <f t="shared" si="41"/>
        <v>5</v>
      </c>
      <c r="I1324" s="6">
        <f t="shared" si="42"/>
        <v>912.23799999999994</v>
      </c>
      <c r="L1324" s="19"/>
      <c r="O1324" s="2"/>
      <c r="P1324" s="3"/>
      <c r="Q1324" s="2"/>
      <c r="R1324" s="2"/>
      <c r="S1324" s="3"/>
      <c r="T1324" s="3"/>
      <c r="U1324" s="4"/>
      <c r="W1324" s="6"/>
    </row>
    <row r="1325" spans="1:23" ht="15" thickBot="1" x14ac:dyDescent="0.35">
      <c r="A1325" s="2">
        <v>18</v>
      </c>
      <c r="B1325" s="3" t="s">
        <v>15</v>
      </c>
      <c r="C1325" s="2">
        <v>30.3</v>
      </c>
      <c r="D1325" s="2">
        <v>0</v>
      </c>
      <c r="E1325" s="3" t="s">
        <v>16</v>
      </c>
      <c r="F1325" s="3" t="s">
        <v>9</v>
      </c>
      <c r="G1325" s="4">
        <v>2203.7399999999998</v>
      </c>
      <c r="H1325">
        <f t="shared" si="41"/>
        <v>1</v>
      </c>
      <c r="I1325" s="6">
        <f t="shared" si="42"/>
        <v>2203.7399999999998</v>
      </c>
      <c r="L1325" s="19"/>
      <c r="O1325" s="2"/>
      <c r="P1325" s="3"/>
      <c r="Q1325" s="2"/>
      <c r="R1325" s="2"/>
      <c r="S1325" s="3"/>
      <c r="T1325" s="3"/>
      <c r="U1325" s="4"/>
      <c r="W1325" s="6"/>
    </row>
    <row r="1326" spans="1:23" ht="15" thickBot="1" x14ac:dyDescent="0.35">
      <c r="A1326" s="2">
        <v>18</v>
      </c>
      <c r="B1326" s="3" t="s">
        <v>15</v>
      </c>
      <c r="C1326" s="2">
        <v>28.2</v>
      </c>
      <c r="D1326" s="2">
        <v>0</v>
      </c>
      <c r="E1326" s="3" t="s">
        <v>16</v>
      </c>
      <c r="F1326" s="3" t="s">
        <v>9</v>
      </c>
      <c r="G1326" s="4">
        <v>2200.83</v>
      </c>
      <c r="H1326">
        <f t="shared" si="41"/>
        <v>1</v>
      </c>
      <c r="I1326" s="6">
        <f t="shared" si="42"/>
        <v>2200.83</v>
      </c>
      <c r="L1326" s="19"/>
      <c r="O1326" s="2"/>
      <c r="P1326" s="3"/>
      <c r="Q1326" s="2"/>
      <c r="R1326" s="2"/>
      <c r="S1326" s="3"/>
      <c r="T1326" s="3"/>
      <c r="U1326" s="4"/>
      <c r="W1326" s="6"/>
    </row>
    <row r="1327" spans="1:23" ht="15" thickBot="1" x14ac:dyDescent="0.35">
      <c r="A1327" s="2">
        <v>18</v>
      </c>
      <c r="B1327" s="3" t="s">
        <v>14</v>
      </c>
      <c r="C1327" s="2">
        <v>27.4</v>
      </c>
      <c r="D1327" s="2">
        <v>1</v>
      </c>
      <c r="E1327" s="3" t="s">
        <v>17</v>
      </c>
      <c r="F1327" s="3" t="s">
        <v>9</v>
      </c>
      <c r="G1327" s="4">
        <v>17178.68</v>
      </c>
      <c r="H1327">
        <f t="shared" si="41"/>
        <v>2</v>
      </c>
      <c r="I1327" s="6">
        <f t="shared" si="42"/>
        <v>8589.34</v>
      </c>
      <c r="L1327" s="19"/>
      <c r="O1327" s="2"/>
      <c r="P1327" s="3"/>
      <c r="Q1327" s="2"/>
      <c r="R1327" s="2"/>
      <c r="S1327" s="3"/>
      <c r="T1327" s="3"/>
      <c r="U1327" s="4"/>
      <c r="W1327" s="6"/>
    </row>
    <row r="1328" spans="1:23" ht="15" thickBot="1" x14ac:dyDescent="0.35">
      <c r="A1328" s="2">
        <v>18</v>
      </c>
      <c r="B1328" s="3" t="s">
        <v>15</v>
      </c>
      <c r="C1328" s="2">
        <v>27.3</v>
      </c>
      <c r="D1328" s="2">
        <v>3</v>
      </c>
      <c r="E1328" s="3" t="s">
        <v>17</v>
      </c>
      <c r="F1328" s="3" t="s">
        <v>10</v>
      </c>
      <c r="G1328" s="4">
        <v>18223.45</v>
      </c>
      <c r="H1328">
        <f t="shared" si="41"/>
        <v>4</v>
      </c>
      <c r="I1328" s="6">
        <f t="shared" si="42"/>
        <v>4555.8625000000002</v>
      </c>
      <c r="L1328" s="19"/>
      <c r="O1328" s="2"/>
      <c r="P1328" s="3"/>
      <c r="Q1328" s="2"/>
      <c r="R1328" s="2"/>
      <c r="S1328" s="3"/>
      <c r="T1328" s="3"/>
      <c r="U1328" s="4"/>
      <c r="W1328" s="6"/>
    </row>
    <row r="1329" spans="1:23" ht="15" thickBot="1" x14ac:dyDescent="0.35">
      <c r="A1329" s="2">
        <v>18</v>
      </c>
      <c r="B1329" s="3" t="s">
        <v>14</v>
      </c>
      <c r="C1329" s="2">
        <v>21.5</v>
      </c>
      <c r="D1329" s="2">
        <v>0</v>
      </c>
      <c r="E1329" s="3" t="s">
        <v>16</v>
      </c>
      <c r="F1329" s="3" t="s">
        <v>9</v>
      </c>
      <c r="G1329" s="4">
        <v>1702.46</v>
      </c>
      <c r="H1329">
        <f t="shared" si="41"/>
        <v>1</v>
      </c>
      <c r="I1329" s="6">
        <f t="shared" si="42"/>
        <v>1702.46</v>
      </c>
      <c r="L1329" s="19"/>
      <c r="O1329" s="2"/>
      <c r="P1329" s="3"/>
      <c r="Q1329" s="2"/>
      <c r="R1329" s="2"/>
      <c r="S1329" s="3"/>
      <c r="T1329" s="3"/>
      <c r="U1329" s="4"/>
      <c r="W1329" s="6"/>
    </row>
    <row r="1330" spans="1:23" ht="15" thickBot="1" x14ac:dyDescent="0.35">
      <c r="A1330" s="2">
        <v>18</v>
      </c>
      <c r="B1330" s="3" t="s">
        <v>14</v>
      </c>
      <c r="C1330" s="2">
        <v>39.1</v>
      </c>
      <c r="D1330" s="2">
        <v>0</v>
      </c>
      <c r="E1330" s="3" t="s">
        <v>16</v>
      </c>
      <c r="F1330" s="3" t="s">
        <v>9</v>
      </c>
      <c r="G1330" s="4">
        <v>12890.06</v>
      </c>
      <c r="H1330">
        <f t="shared" si="41"/>
        <v>1</v>
      </c>
      <c r="I1330" s="6">
        <f t="shared" si="42"/>
        <v>12890.06</v>
      </c>
      <c r="L1330" s="19"/>
      <c r="O1330" s="2"/>
      <c r="P1330" s="3"/>
      <c r="Q1330" s="2"/>
      <c r="R1330" s="2"/>
      <c r="S1330" s="3"/>
      <c r="T1330" s="3"/>
      <c r="U1330" s="4"/>
      <c r="W1330" s="6"/>
    </row>
    <row r="1331" spans="1:23" ht="15" thickBot="1" x14ac:dyDescent="0.35">
      <c r="A1331" s="2">
        <v>18</v>
      </c>
      <c r="B1331" s="3" t="s">
        <v>14</v>
      </c>
      <c r="C1331" s="2">
        <v>33.299999999999997</v>
      </c>
      <c r="D1331" s="2">
        <v>0</v>
      </c>
      <c r="E1331" s="3" t="s">
        <v>16</v>
      </c>
      <c r="F1331" s="3" t="s">
        <v>10</v>
      </c>
      <c r="G1331" s="4">
        <v>1135.94</v>
      </c>
      <c r="H1331">
        <f t="shared" si="41"/>
        <v>1</v>
      </c>
      <c r="I1331" s="6">
        <f t="shared" si="42"/>
        <v>1135.94</v>
      </c>
      <c r="L1331" s="19"/>
      <c r="O1331" s="2"/>
      <c r="P1331" s="3"/>
      <c r="Q1331" s="2"/>
      <c r="R1331" s="2"/>
      <c r="S1331" s="3"/>
      <c r="T1331" s="3"/>
      <c r="U1331" s="4"/>
      <c r="W1331" s="6"/>
    </row>
    <row r="1332" spans="1:23" ht="15" thickBot="1" x14ac:dyDescent="0.35">
      <c r="A1332" s="2">
        <v>18</v>
      </c>
      <c r="B1332" s="3" t="s">
        <v>15</v>
      </c>
      <c r="C1332" s="2">
        <v>39.799999999999997</v>
      </c>
      <c r="D1332" s="2">
        <v>0</v>
      </c>
      <c r="E1332" s="3" t="s">
        <v>16</v>
      </c>
      <c r="F1332" s="3" t="s">
        <v>10</v>
      </c>
      <c r="G1332" s="4">
        <v>1633.96</v>
      </c>
      <c r="H1332">
        <f t="shared" si="41"/>
        <v>1</v>
      </c>
      <c r="I1332" s="6">
        <f t="shared" si="42"/>
        <v>1633.96</v>
      </c>
      <c r="L1332" s="19"/>
      <c r="O1332" s="2"/>
      <c r="P1332" s="3"/>
      <c r="Q1332" s="2"/>
      <c r="R1332" s="2"/>
      <c r="S1332" s="3"/>
      <c r="T1332" s="3"/>
      <c r="U1332" s="4"/>
      <c r="W1332" s="6"/>
    </row>
    <row r="1333" spans="1:23" ht="15" thickBot="1" x14ac:dyDescent="0.35">
      <c r="A1333" s="2">
        <v>18</v>
      </c>
      <c r="B1333" s="3" t="s">
        <v>15</v>
      </c>
      <c r="C1333" s="2">
        <v>21.7</v>
      </c>
      <c r="D1333" s="2">
        <v>0</v>
      </c>
      <c r="E1333" s="3" t="s">
        <v>17</v>
      </c>
      <c r="F1333" s="3" t="s">
        <v>9</v>
      </c>
      <c r="G1333" s="4">
        <v>14283.46</v>
      </c>
      <c r="H1333">
        <f t="shared" si="41"/>
        <v>1</v>
      </c>
      <c r="I1333" s="6">
        <f t="shared" si="42"/>
        <v>14283.46</v>
      </c>
      <c r="L1333" s="19"/>
      <c r="O1333" s="2"/>
      <c r="P1333" s="3"/>
      <c r="Q1333" s="2"/>
      <c r="R1333" s="2"/>
      <c r="S1333" s="3"/>
      <c r="T1333" s="3"/>
      <c r="U1333" s="4"/>
      <c r="W1333" s="6"/>
    </row>
    <row r="1334" spans="1:23" ht="15" thickBot="1" x14ac:dyDescent="0.35">
      <c r="A1334" s="2">
        <v>18</v>
      </c>
      <c r="B1334" s="3" t="s">
        <v>14</v>
      </c>
      <c r="C1334" s="2">
        <v>30</v>
      </c>
      <c r="D1334" s="2">
        <v>1</v>
      </c>
      <c r="E1334" s="3" t="s">
        <v>16</v>
      </c>
      <c r="F1334" s="3" t="s">
        <v>10</v>
      </c>
      <c r="G1334" s="4">
        <v>1720.35</v>
      </c>
      <c r="H1334">
        <f t="shared" si="41"/>
        <v>2</v>
      </c>
      <c r="I1334" s="6">
        <f t="shared" si="42"/>
        <v>860.17499999999995</v>
      </c>
      <c r="L1334" s="19"/>
      <c r="O1334" s="2"/>
      <c r="P1334" s="3"/>
      <c r="Q1334" s="2"/>
      <c r="R1334" s="2"/>
      <c r="S1334" s="3"/>
      <c r="T1334" s="3"/>
      <c r="U1334" s="4"/>
      <c r="W1334" s="6"/>
    </row>
    <row r="1335" spans="1:23" ht="15" thickBot="1" x14ac:dyDescent="0.35">
      <c r="A1335" s="2">
        <v>18</v>
      </c>
      <c r="B1335" s="3" t="s">
        <v>14</v>
      </c>
      <c r="C1335" s="2">
        <v>26.1</v>
      </c>
      <c r="D1335" s="2">
        <v>0</v>
      </c>
      <c r="E1335" s="3" t="s">
        <v>16</v>
      </c>
      <c r="F1335" s="3" t="s">
        <v>9</v>
      </c>
      <c r="G1335" s="4">
        <v>1708.93</v>
      </c>
      <c r="H1335">
        <f t="shared" si="41"/>
        <v>1</v>
      </c>
      <c r="I1335" s="6">
        <f t="shared" si="42"/>
        <v>1708.93</v>
      </c>
      <c r="L1335" s="19"/>
      <c r="O1335" s="2"/>
      <c r="P1335" s="3"/>
      <c r="Q1335" s="2"/>
      <c r="R1335" s="2"/>
      <c r="S1335" s="3"/>
      <c r="T1335" s="3"/>
      <c r="U1335" s="4"/>
      <c r="W1335" s="6"/>
    </row>
    <row r="1336" spans="1:23" ht="15" thickBot="1" x14ac:dyDescent="0.35">
      <c r="A1336" s="2">
        <v>18</v>
      </c>
      <c r="B1336" s="3" t="s">
        <v>14</v>
      </c>
      <c r="C1336" s="2">
        <v>28.3</v>
      </c>
      <c r="D1336" s="2">
        <v>1</v>
      </c>
      <c r="E1336" s="3" t="s">
        <v>16</v>
      </c>
      <c r="F1336" s="3" t="s">
        <v>9</v>
      </c>
      <c r="G1336" s="4">
        <v>11272.33</v>
      </c>
      <c r="H1336">
        <f t="shared" si="41"/>
        <v>2</v>
      </c>
      <c r="I1336" s="6">
        <f t="shared" si="42"/>
        <v>5636.165</v>
      </c>
      <c r="L1336" s="19"/>
      <c r="O1336" s="2"/>
      <c r="P1336" s="3"/>
      <c r="Q1336" s="2"/>
      <c r="R1336" s="2"/>
      <c r="S1336" s="3"/>
      <c r="T1336" s="3"/>
      <c r="U1336" s="4"/>
      <c r="W1336" s="6"/>
    </row>
    <row r="1337" spans="1:23" ht="15" thickBot="1" x14ac:dyDescent="0.35">
      <c r="A1337" s="2">
        <v>18</v>
      </c>
      <c r="B1337" s="3" t="s">
        <v>14</v>
      </c>
      <c r="C1337" s="2">
        <v>53.1</v>
      </c>
      <c r="D1337" s="2">
        <v>0</v>
      </c>
      <c r="E1337" s="3" t="s">
        <v>16</v>
      </c>
      <c r="F1337" s="3" t="s">
        <v>10</v>
      </c>
      <c r="G1337" s="4">
        <v>1163.46</v>
      </c>
      <c r="H1337">
        <f t="shared" si="41"/>
        <v>1</v>
      </c>
      <c r="I1337" s="6">
        <f t="shared" si="42"/>
        <v>1163.46</v>
      </c>
      <c r="L1337" s="19"/>
      <c r="O1337" s="2"/>
      <c r="P1337" s="3"/>
      <c r="Q1337" s="2"/>
      <c r="R1337" s="2"/>
      <c r="S1337" s="3"/>
      <c r="T1337" s="3"/>
      <c r="U1337" s="4"/>
      <c r="W1337" s="6"/>
    </row>
    <row r="1338" spans="1:23" ht="15" thickBot="1" x14ac:dyDescent="0.35">
      <c r="A1338" s="2">
        <v>18</v>
      </c>
      <c r="B1338" s="3" t="s">
        <v>15</v>
      </c>
      <c r="C1338" s="2">
        <v>31.9</v>
      </c>
      <c r="D1338" s="2">
        <v>0</v>
      </c>
      <c r="E1338" s="3" t="s">
        <v>16</v>
      </c>
      <c r="F1338" s="3" t="s">
        <v>9</v>
      </c>
      <c r="G1338" s="4">
        <v>2205.98</v>
      </c>
      <c r="H1338">
        <f t="shared" si="41"/>
        <v>1</v>
      </c>
      <c r="I1338" s="6">
        <f t="shared" si="42"/>
        <v>2205.98</v>
      </c>
      <c r="L1338" s="19"/>
      <c r="O1338" s="2"/>
      <c r="P1338" s="3"/>
      <c r="Q1338" s="2"/>
      <c r="R1338" s="2"/>
      <c r="S1338" s="3"/>
      <c r="T1338" s="3"/>
      <c r="U1338" s="4"/>
      <c r="W1338" s="6"/>
    </row>
    <row r="1339" spans="1:23" ht="15" thickBot="1" x14ac:dyDescent="0.35">
      <c r="A1339" s="2">
        <v>18</v>
      </c>
      <c r="B1339" s="3" t="s">
        <v>15</v>
      </c>
      <c r="C1339" s="2">
        <v>36.9</v>
      </c>
      <c r="D1339" s="2">
        <v>0</v>
      </c>
      <c r="E1339" s="3" t="s">
        <v>16</v>
      </c>
      <c r="F1339" s="3" t="s">
        <v>10</v>
      </c>
      <c r="G1339" s="4">
        <v>1629.83</v>
      </c>
      <c r="H1339">
        <f t="shared" si="41"/>
        <v>1</v>
      </c>
      <c r="I1339" s="6">
        <f t="shared" si="42"/>
        <v>1629.83</v>
      </c>
      <c r="L1339" s="19"/>
      <c r="O1339" s="2"/>
      <c r="P1339" s="3"/>
      <c r="Q1339" s="2"/>
      <c r="R1339" s="2"/>
      <c r="S1339" s="3"/>
      <c r="T1339" s="3"/>
      <c r="U1339" s="4"/>
      <c r="W1339" s="6"/>
    </row>
    <row r="1340" spans="1:23" ht="15" thickBot="1" x14ac:dyDescent="0.35">
      <c r="A1340" s="10"/>
      <c r="B1340" s="12"/>
      <c r="C1340" s="2"/>
      <c r="D1340" s="2"/>
      <c r="E1340" s="12"/>
      <c r="G1340" s="29"/>
      <c r="L1340" s="19"/>
      <c r="O1340" s="2"/>
      <c r="P1340" s="3"/>
      <c r="Q1340" s="2"/>
      <c r="R1340" s="2"/>
      <c r="S1340" s="3"/>
      <c r="T1340" s="3"/>
      <c r="U1340" s="4"/>
      <c r="W1340" s="6"/>
    </row>
    <row r="1341" spans="1:23" ht="15" thickBot="1" x14ac:dyDescent="0.35">
      <c r="A1341" s="10"/>
      <c r="B1341" s="12"/>
      <c r="C1341" s="2"/>
      <c r="D1341" s="2"/>
      <c r="E1341" s="12"/>
      <c r="G1341" s="29"/>
      <c r="L1341" s="19"/>
      <c r="O1341" s="2"/>
      <c r="P1341" s="3"/>
      <c r="Q1341" s="2"/>
      <c r="R1341" s="2"/>
      <c r="S1341" s="3"/>
      <c r="T1341" s="3"/>
      <c r="U1341" s="4"/>
      <c r="W1341" s="6"/>
    </row>
    <row r="1342" spans="1:23" ht="15" thickBot="1" x14ac:dyDescent="0.35">
      <c r="A1342" s="10"/>
      <c r="B1342" s="27"/>
      <c r="C1342" s="2"/>
      <c r="D1342" s="2"/>
      <c r="E1342" s="12"/>
      <c r="G1342" s="29"/>
      <c r="K1342" s="10"/>
      <c r="L1342" s="19"/>
      <c r="M1342" s="12"/>
      <c r="N1342" s="5"/>
      <c r="O1342" s="2"/>
      <c r="P1342" s="3"/>
      <c r="Q1342" s="2"/>
      <c r="R1342" s="2"/>
      <c r="S1342" s="3"/>
      <c r="T1342" s="3"/>
      <c r="U1342" s="4"/>
      <c r="W1342" s="6"/>
    </row>
    <row r="1343" spans="1:23" ht="15" thickBot="1" x14ac:dyDescent="0.35">
      <c r="A1343" s="28"/>
      <c r="B1343" s="27"/>
      <c r="C1343" s="2"/>
      <c r="D1343" s="2"/>
      <c r="E1343" s="12"/>
      <c r="G1343" s="29"/>
      <c r="L1343" s="19"/>
      <c r="O1343" s="2"/>
      <c r="P1343" s="3"/>
      <c r="Q1343" s="2"/>
      <c r="R1343" s="2"/>
      <c r="S1343" s="3"/>
      <c r="T1343" s="3"/>
      <c r="U1343" s="4"/>
      <c r="W1343" s="6"/>
    </row>
    <row r="1344" spans="1:23" ht="15" thickBot="1" x14ac:dyDescent="0.35">
      <c r="L1344" s="19"/>
      <c r="O1344" s="2"/>
      <c r="P1344" s="3"/>
      <c r="Q1344" s="2"/>
      <c r="R1344" s="2"/>
      <c r="S1344" s="3"/>
      <c r="T1344" s="3"/>
      <c r="U1344" s="4"/>
      <c r="W1344" s="6"/>
    </row>
    <row r="1345" spans="12:23" ht="15" thickBot="1" x14ac:dyDescent="0.35">
      <c r="L1345" s="19"/>
      <c r="O1345" s="2"/>
      <c r="P1345" s="3"/>
      <c r="Q1345" s="2"/>
      <c r="R1345" s="2"/>
      <c r="S1345" s="3"/>
      <c r="T1345" s="3"/>
      <c r="U1345" s="4"/>
      <c r="W1345" s="6"/>
    </row>
    <row r="1346" spans="12:23" ht="15" thickBot="1" x14ac:dyDescent="0.35">
      <c r="O1346" s="2"/>
      <c r="P1346" s="3"/>
      <c r="Q1346" s="2"/>
      <c r="R1346" s="2"/>
      <c r="S1346" s="3"/>
      <c r="T1346" s="3"/>
      <c r="U1346" s="4"/>
      <c r="W1346" s="6"/>
    </row>
    <row r="1347" spans="12:23" ht="15" thickBot="1" x14ac:dyDescent="0.35">
      <c r="O1347" s="2"/>
      <c r="P1347" s="3"/>
      <c r="Q1347" s="2"/>
      <c r="R1347" s="2"/>
      <c r="S1347" s="3"/>
      <c r="T1347" s="3"/>
      <c r="U1347" s="4"/>
      <c r="W1347" s="6"/>
    </row>
    <row r="1348" spans="12:23" ht="15" thickBot="1" x14ac:dyDescent="0.35">
      <c r="O1348" s="2"/>
      <c r="P1348" s="3"/>
      <c r="Q1348" s="2"/>
      <c r="R1348" s="2"/>
      <c r="S1348" s="3"/>
      <c r="T1348" s="3"/>
      <c r="U1348" s="4"/>
      <c r="W1348" s="6"/>
    </row>
    <row r="1349" spans="12:23" ht="15" thickBot="1" x14ac:dyDescent="0.35">
      <c r="O1349" s="2"/>
      <c r="P1349" s="3"/>
      <c r="Q1349" s="2"/>
      <c r="R1349" s="2"/>
      <c r="S1349" s="3"/>
      <c r="T1349" s="3"/>
      <c r="U1349" s="4"/>
      <c r="W1349" s="6"/>
    </row>
    <row r="1350" spans="12:23" ht="15" thickBot="1" x14ac:dyDescent="0.35">
      <c r="O1350" s="2"/>
      <c r="P1350" s="3"/>
      <c r="Q1350" s="2"/>
      <c r="R1350" s="2"/>
      <c r="S1350" s="3"/>
      <c r="T1350" s="3"/>
      <c r="U1350" s="4"/>
      <c r="W1350" s="6"/>
    </row>
    <row r="1351" spans="12:23" ht="15" thickBot="1" x14ac:dyDescent="0.35">
      <c r="O1351" s="2"/>
      <c r="P1351" s="3"/>
      <c r="Q1351" s="2"/>
      <c r="R1351" s="2"/>
      <c r="S1351" s="3"/>
      <c r="T1351" s="3"/>
      <c r="U1351" s="4"/>
      <c r="W1351" s="6"/>
    </row>
  </sheetData>
  <autoFilter ref="A1:I1340" xr:uid="{00000000-0001-0000-0000-000000000000}"/>
  <sortState xmlns:xlrd2="http://schemas.microsoft.com/office/spreadsheetml/2017/richdata2" ref="P16:P21">
    <sortCondition ref="P16:P21"/>
  </sortState>
  <conditionalFormatting sqref="G1:G1048576">
    <cfRule type="cellIs" dxfId="6" priority="6" operator="greaterThan">
      <formula>$M$2</formula>
    </cfRule>
  </conditionalFormatting>
  <conditionalFormatting sqref="O16:O20">
    <cfRule type="duplicateValues" dxfId="5" priority="4"/>
  </conditionalFormatting>
  <conditionalFormatting sqref="P19:P20">
    <cfRule type="duplicateValues" dxfId="4" priority="3"/>
  </conditionalFormatting>
  <dataValidations count="4">
    <dataValidation type="decimal" operator="greaterThan" allowBlank="1" showInputMessage="1" showErrorMessage="1" error="Please enter positive values" sqref="N1342 Q14 U14 G1344:G1048576 G1:G1339 C1:C1048576" xr:uid="{2A20E602-037C-404B-B282-BD6731A5A5D3}">
      <formula1>0</formula1>
    </dataValidation>
    <dataValidation type="list" allowBlank="1" showInputMessage="1" showErrorMessage="1" error="please enter &quot;Yes,No&quot;" sqref="S14 E1:E1048576" xr:uid="{F512E7C1-7672-401E-9908-CB1D0E5FEFE4}">
      <formula1>"Yes,No"</formula1>
    </dataValidation>
    <dataValidation type="whole" allowBlank="1" showInputMessage="1" showErrorMessage="1" error="Age column contains values between 18 and 80." sqref="L8:L1345 A1:A1048576" xr:uid="{7A57D466-81FC-4FC0-8BC5-ACAED7EA0424}">
      <formula1>18</formula1>
      <formula2>80</formula2>
    </dataValidation>
    <dataValidation type="list" allowBlank="1" showInputMessage="1" showErrorMessage="1" error="enter &quot;Male,Female,Other&quot;" sqref="B1:B1048576" xr:uid="{30DDCD39-229B-4B51-9639-6BB53081D71B}">
      <formula1>"Male,Female,Other"</formula1>
    </dataValidation>
  </dataValidations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5B1A8-41E9-4E3C-A648-BDF0BBEAE1F4}">
  <dimension ref="S25:Z37"/>
  <sheetViews>
    <sheetView topLeftCell="A10" zoomScale="77" workbookViewId="0">
      <selection activeCell="O34" sqref="O34"/>
    </sheetView>
  </sheetViews>
  <sheetFormatPr defaultRowHeight="14.4" x14ac:dyDescent="0.3"/>
  <sheetData>
    <row r="25" spans="19:25" x14ac:dyDescent="0.3">
      <c r="S25" t="s">
        <v>23</v>
      </c>
      <c r="T25" t="s">
        <v>24</v>
      </c>
      <c r="U25" t="s">
        <v>25</v>
      </c>
    </row>
    <row r="26" spans="19:25" x14ac:dyDescent="0.3">
      <c r="S26" t="s">
        <v>14</v>
      </c>
      <c r="T26">
        <v>159</v>
      </c>
      <c r="U26">
        <v>517</v>
      </c>
    </row>
    <row r="27" spans="19:25" x14ac:dyDescent="0.3">
      <c r="S27" t="s">
        <v>15</v>
      </c>
      <c r="T27">
        <v>115</v>
      </c>
      <c r="U27">
        <v>547</v>
      </c>
    </row>
    <row r="29" spans="19:25" ht="15" thickBot="1" x14ac:dyDescent="0.35"/>
    <row r="30" spans="19:25" ht="15" thickBot="1" x14ac:dyDescent="0.35">
      <c r="S30" s="10">
        <v>26</v>
      </c>
      <c r="T30" s="12" t="s">
        <v>14</v>
      </c>
      <c r="U30" s="10">
        <v>67</v>
      </c>
      <c r="V30" s="10">
        <v>0</v>
      </c>
      <c r="W30" s="12" t="s">
        <v>17</v>
      </c>
      <c r="X30" s="3" t="s">
        <v>10</v>
      </c>
      <c r="Y30" s="5">
        <v>15000</v>
      </c>
    </row>
    <row r="31" spans="19:25" ht="15" thickBot="1" x14ac:dyDescent="0.35">
      <c r="S31" s="10">
        <v>28</v>
      </c>
      <c r="T31" s="12" t="s">
        <v>15</v>
      </c>
      <c r="U31" s="10">
        <v>55</v>
      </c>
      <c r="V31" s="10">
        <v>0</v>
      </c>
      <c r="W31" s="12" t="s">
        <v>16</v>
      </c>
      <c r="X31" s="3" t="s">
        <v>10</v>
      </c>
      <c r="Y31" s="6">
        <v>20000</v>
      </c>
    </row>
    <row r="33" spans="19:26" x14ac:dyDescent="0.3">
      <c r="S33" t="s">
        <v>5</v>
      </c>
      <c r="T33" t="s">
        <v>29</v>
      </c>
    </row>
    <row r="34" spans="19:26" x14ac:dyDescent="0.3">
      <c r="S34" t="s">
        <v>7</v>
      </c>
      <c r="T34">
        <v>58</v>
      </c>
      <c r="Y34" s="12" t="s">
        <v>17</v>
      </c>
      <c r="Z34" t="s">
        <v>7</v>
      </c>
    </row>
    <row r="35" spans="19:26" x14ac:dyDescent="0.3">
      <c r="S35" t="s">
        <v>8</v>
      </c>
      <c r="T35">
        <v>58</v>
      </c>
      <c r="Y35" s="12" t="s">
        <v>17</v>
      </c>
      <c r="Z35" t="s">
        <v>8</v>
      </c>
    </row>
    <row r="36" spans="19:26" x14ac:dyDescent="0.3">
      <c r="S36" t="s">
        <v>9</v>
      </c>
      <c r="T36">
        <v>67</v>
      </c>
      <c r="Y36" s="12" t="s">
        <v>17</v>
      </c>
      <c r="Z36" t="s">
        <v>9</v>
      </c>
    </row>
    <row r="37" spans="19:26" x14ac:dyDescent="0.3">
      <c r="S37" t="s">
        <v>10</v>
      </c>
      <c r="T37">
        <v>91</v>
      </c>
      <c r="Y37" s="12" t="s">
        <v>17</v>
      </c>
      <c r="Z37" t="s">
        <v>10</v>
      </c>
    </row>
  </sheetData>
  <conditionalFormatting sqref="Y30:Y31">
    <cfRule type="cellIs" dxfId="1" priority="1" operator="greaterThan">
      <formula>$M$2</formula>
    </cfRule>
  </conditionalFormatting>
  <dataValidations count="4">
    <dataValidation type="list" allowBlank="1" showInputMessage="1" showErrorMessage="1" error="enter &quot;Male,Female,Other&quot;" sqref="T30:T31" xr:uid="{32065300-0519-499B-B9E1-A49FE8A6F484}">
      <formula1>"Male,Female,Other"</formula1>
    </dataValidation>
    <dataValidation type="whole" allowBlank="1" showInputMessage="1" showErrorMessage="1" error="Age column contains values between 18 and 80." sqref="S30:S31" xr:uid="{8C391804-2E5F-41A8-87EF-4BF5E97E543F}">
      <formula1>18</formula1>
      <formula2>80</formula2>
    </dataValidation>
    <dataValidation type="list" allowBlank="1" showInputMessage="1" showErrorMessage="1" error="please enter &quot;Yes,No&quot;" sqref="W30:W31 Y34:Y37" xr:uid="{4171B352-2994-4201-B1B5-89AEE2060B06}">
      <formula1>"Yes,No"</formula1>
    </dataValidation>
    <dataValidation type="decimal" operator="greaterThan" allowBlank="1" showInputMessage="1" showErrorMessage="1" error="Please enter positive values" sqref="Y30:Y31 U30:U31" xr:uid="{F292EDDD-992D-4871-BBF7-BDD624455EA5}">
      <formula1>0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Insurance Dataset Analysis</vt:lpstr>
      <vt:lpstr>Insurance Dataset Analysis Dash</vt:lpstr>
      <vt:lpstr>'Insurance Dataset Analysis'!Extract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DEVENDRA SINGH</dc:creator>
  <cp:lastModifiedBy>DEVENDRA SINGH</cp:lastModifiedBy>
  <dcterms:created xsi:type="dcterms:W3CDTF">2015-06-05T18:17:20Z</dcterms:created>
  <dcterms:modified xsi:type="dcterms:W3CDTF">2024-09-14T06:32:00Z</dcterms:modified>
</cp:coreProperties>
</file>